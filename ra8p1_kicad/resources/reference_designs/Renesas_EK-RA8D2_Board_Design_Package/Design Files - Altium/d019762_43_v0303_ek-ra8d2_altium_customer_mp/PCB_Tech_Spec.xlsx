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filterPrivacy="1"/>
  <xr:revisionPtr revIDLastSave="0" documentId="13_ncr:1_{636DE17B-B3E9-4E1C-93F2-4E52E30618DD}" xr6:coauthVersionLast="47" xr6:coauthVersionMax="47" xr10:uidLastSave="{00000000-0000-0000-0000-000000000000}"/>
  <bookViews>
    <workbookView xWindow="28680" yWindow="-7935" windowWidth="29040" windowHeight="15720" tabRatio="771" xr2:uid="{00000000-000D-0000-FFFF-FFFF00000000}"/>
  </bookViews>
  <sheets>
    <sheet name="Technical data sheet" sheetId="1" r:id="rId1"/>
    <sheet name="Data validation" sheetId="2" r:id="rId2"/>
  </sheets>
  <definedNames>
    <definedName name="_xlnm.Print_Area" localSheetId="0">'Technical data sheet'!$B$1:$J$40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C3" i="1" l="1"/>
  <c r="C4" i="1"/>
</calcChain>
</file>

<file path=xl/sharedStrings.xml><?xml version="1.0" encoding="utf-8"?>
<sst xmlns="http://schemas.openxmlformats.org/spreadsheetml/2006/main" count="271" uniqueCount="155">
  <si>
    <t>Date</t>
  </si>
  <si>
    <t>Production requirements</t>
  </si>
  <si>
    <t>Class II</t>
  </si>
  <si>
    <t>rigid</t>
  </si>
  <si>
    <t>Rogers</t>
  </si>
  <si>
    <t>Class III</t>
  </si>
  <si>
    <t>flexibel</t>
  </si>
  <si>
    <t>Polyimid</t>
  </si>
  <si>
    <t>RoHS compatible</t>
  </si>
  <si>
    <t>Date code</t>
  </si>
  <si>
    <t>First sample test report</t>
  </si>
  <si>
    <t>Entek / OSP</t>
  </si>
  <si>
    <t>free</t>
  </si>
  <si>
    <t>green</t>
  </si>
  <si>
    <t>Silkscreen</t>
  </si>
  <si>
    <t>white</t>
  </si>
  <si>
    <t>Edge contact</t>
  </si>
  <si>
    <t>Backdrill</t>
  </si>
  <si>
    <t>Standard</t>
  </si>
  <si>
    <t>Blind via</t>
  </si>
  <si>
    <t>+/- 100 µm</t>
  </si>
  <si>
    <t>+/- 50 µm</t>
  </si>
  <si>
    <t>Buried via</t>
  </si>
  <si>
    <t>Microfill blind via</t>
  </si>
  <si>
    <t>Top</t>
  </si>
  <si>
    <t>Bottom</t>
  </si>
  <si>
    <t>FR 4</t>
  </si>
  <si>
    <t>Plugging buried via</t>
  </si>
  <si>
    <t>blue</t>
  </si>
  <si>
    <t>Document Number</t>
  </si>
  <si>
    <t>Project Name</t>
  </si>
  <si>
    <t>Variant</t>
  </si>
  <si>
    <t>Version</t>
  </si>
  <si>
    <t>Contact Person</t>
  </si>
  <si>
    <t>E-Mail</t>
  </si>
  <si>
    <t>Telephone</t>
  </si>
  <si>
    <t>Field=VariantName</t>
  </si>
  <si>
    <t>Field=ItemRevision</t>
  </si>
  <si>
    <t>Field=CurrentDate</t>
  </si>
  <si>
    <t>Field=Engineer</t>
  </si>
  <si>
    <t>Field=Email</t>
  </si>
  <si>
    <t>Field=Phone</t>
  </si>
  <si>
    <t>General requirements</t>
  </si>
  <si>
    <t>IPC 4761 Type I-a</t>
  </si>
  <si>
    <t>IPC 4761 Type I-b</t>
  </si>
  <si>
    <t>IPC 4761 Type II-a</t>
  </si>
  <si>
    <t>IPC 4761 Type II-b</t>
  </si>
  <si>
    <t>IPC 4761 Type III-a</t>
  </si>
  <si>
    <t>IPC 4761 Type IV-a</t>
  </si>
  <si>
    <t>IPC 4761 Type IV-b</t>
  </si>
  <si>
    <t>IPC 4761 Type V</t>
  </si>
  <si>
    <t>IPC 4761 Type VI-a</t>
  </si>
  <si>
    <t>IPC 4761 Type VI-b</t>
  </si>
  <si>
    <t>IPC 4761 Type VII</t>
  </si>
  <si>
    <t>None</t>
  </si>
  <si>
    <t>Milling tolerance</t>
  </si>
  <si>
    <t>rigid-flex</t>
  </si>
  <si>
    <t>chem. Silver</t>
  </si>
  <si>
    <t>chem. Sn</t>
  </si>
  <si>
    <t>Screen</t>
  </si>
  <si>
    <t>see drawing</t>
  </si>
  <si>
    <t>18 µm</t>
  </si>
  <si>
    <t>PCB Technology Specification</t>
  </si>
  <si>
    <t>Field=ProjectName</t>
  </si>
  <si>
    <t>Field=DNumber</t>
  </si>
  <si>
    <t>Field=Dnumber</t>
  </si>
  <si>
    <t>Number of Layers</t>
  </si>
  <si>
    <t>Conductor min Width / Spacing</t>
  </si>
  <si>
    <t>Pad finish</t>
  </si>
  <si>
    <t>Impedance Check</t>
  </si>
  <si>
    <t>E-Test</t>
  </si>
  <si>
    <t>Materials and Ratings</t>
  </si>
  <si>
    <t>UL94V Rating</t>
  </si>
  <si>
    <t>PCB-Type</t>
  </si>
  <si>
    <t>Create Panel</t>
  </si>
  <si>
    <t>Contour processing</t>
  </si>
  <si>
    <t>Soldermask Product</t>
  </si>
  <si>
    <t>Soldermask Color (Top &amp; Bottom )</t>
  </si>
  <si>
    <t>Soldermask finish</t>
  </si>
  <si>
    <t>Silkscreen Color</t>
  </si>
  <si>
    <t>Silkscreen printing method</t>
  </si>
  <si>
    <t>Gold Fingers</t>
  </si>
  <si>
    <t>Drill and Milling</t>
  </si>
  <si>
    <t>Smallest drill diameter</t>
  </si>
  <si>
    <t>Via Processing</t>
  </si>
  <si>
    <t>Add additional marking</t>
  </si>
  <si>
    <t>Board Lot #</t>
  </si>
  <si>
    <t>QC Stamp</t>
  </si>
  <si>
    <t>UL94V</t>
  </si>
  <si>
    <t>RoHS</t>
  </si>
  <si>
    <t>Manufacturer Logo</t>
  </si>
  <si>
    <t>Smallest drill pad</t>
  </si>
  <si>
    <t>Finished Board Thickness</t>
  </si>
  <si>
    <t>IPC-A-6011/IPC-A-6012</t>
  </si>
  <si>
    <t>Inner Thieving Balaning Allowed</t>
  </si>
  <si>
    <t>Add tooling holes in panel</t>
  </si>
  <si>
    <t>Outer Thieving Balancing Allowed</t>
  </si>
  <si>
    <t>Comment</t>
  </si>
  <si>
    <t>Class I</t>
  </si>
  <si>
    <t>HASL lead-free</t>
  </si>
  <si>
    <t>chem. NI/AU (ENIG)</t>
  </si>
  <si>
    <t>Base Material</t>
  </si>
  <si>
    <t xml:space="preserve">Finished copper inside </t>
  </si>
  <si>
    <t>Finished copper outside</t>
  </si>
  <si>
    <t>yes</t>
  </si>
  <si>
    <t>no</t>
  </si>
  <si>
    <t>Finished copper</t>
  </si>
  <si>
    <t>35µm</t>
  </si>
  <si>
    <t>Tg (°C min)</t>
  </si>
  <si>
    <t>150 °C</t>
  </si>
  <si>
    <t>Td (°C min)</t>
  </si>
  <si>
    <t>330 °C</t>
  </si>
  <si>
    <t>180 °C</t>
  </si>
  <si>
    <t>none</t>
  </si>
  <si>
    <t>UL94V-0</t>
  </si>
  <si>
    <t>UL94V-1</t>
  </si>
  <si>
    <t>UL94V-2</t>
  </si>
  <si>
    <t>Blind Via</t>
  </si>
  <si>
    <t>Buried Via</t>
  </si>
  <si>
    <t>not applicable</t>
  </si>
  <si>
    <t>Flexible</t>
  </si>
  <si>
    <t>Rigid</t>
  </si>
  <si>
    <t>Rigid-Flex</t>
  </si>
  <si>
    <t>Finished PCB Dimension (mm)</t>
  </si>
  <si>
    <t>Panel Dimension (mm)</t>
  </si>
  <si>
    <t>Milling</t>
  </si>
  <si>
    <t>V-Scoring</t>
  </si>
  <si>
    <t>yes, see drawing</t>
  </si>
  <si>
    <t>yes, standard</t>
  </si>
  <si>
    <t>Thieving Balaning Allowed</t>
  </si>
  <si>
    <t>yes, keepaway 2.5mm</t>
  </si>
  <si>
    <t>KSM-6189 BLO3</t>
  </si>
  <si>
    <t>Soldermask Color</t>
  </si>
  <si>
    <t>matte</t>
  </si>
  <si>
    <t>Top &amp; Bottom</t>
  </si>
  <si>
    <t>Silkscreen Printing Method</t>
  </si>
  <si>
    <t>Direct Print</t>
  </si>
  <si>
    <t>yes - position free</t>
  </si>
  <si>
    <t>yes - see drawing</t>
  </si>
  <si>
    <t>100% full</t>
  </si>
  <si>
    <t>Milling Tolerance</t>
  </si>
  <si>
    <t>± 50 µm</t>
  </si>
  <si>
    <t>± 100 µm</t>
  </si>
  <si>
    <t>± 150 µm</t>
  </si>
  <si>
    <t>± 200 µm</t>
  </si>
  <si>
    <t>± 250 µm</t>
  </si>
  <si>
    <t>not specified</t>
  </si>
  <si>
    <t>x</t>
  </si>
  <si>
    <t>5 x 5</t>
  </si>
  <si>
    <t>Renesas Blue
CMYK(73,73,0,38
RGB (42,40,157)</t>
  </si>
  <si>
    <t>semi-gloss</t>
  </si>
  <si>
    <t>Silkscreen Printed</t>
  </si>
  <si>
    <t>170 °C</t>
  </si>
  <si>
    <t xml:space="preserve">IPC-A-600 </t>
  </si>
  <si>
    <t>DNF components are not soldered and so pads for these components
must be free from solder. No changes are to made without approval from Renesas. This includes the addition of circuit fiducials but excludes etch compensation.
This PCB is not to be marked with UL Logos but processed in a UL Approved process.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</si>
</sst>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General\ &quot;mm&quot;"/>
    <numFmt numFmtId="165" formatCode="0\ &quot;Ω&quot;"/>
    <numFmt numFmtId="166" formatCode="0.000\ &quot;mm&quot;"/>
    <numFmt numFmtId="167" formatCode="0\ &quot;µm&quot;"/>
    <numFmt numFmtId="168" formatCode="0.00\ &quot;mm&quot;"/>
  </numFmts>
  <fonts count="14" x14ac:knownFonts="1">
    <font>
      <sz val="10"/>
      <name val="Arial"/>
      <family val="2"/>
    </font>
    <font>
      <b/>
      <sz val="16"/>
      <name val="Arial"/>
      <family val="2"/>
    </font>
    <font>
      <b/>
      <sz val="10"/>
      <name val="Arial"/>
      <family val="2"/>
    </font>
    <font>
      <b/>
      <sz val="12"/>
      <name val="Arial"/>
      <family val="2"/>
    </font>
    <font>
      <sz val="8"/>
      <name val="Arial"/>
      <family val="2"/>
    </font>
    <font>
      <u/>
      <sz val="10"/>
      <color indexed="12"/>
      <name val="Arial"/>
      <family val="2"/>
    </font>
    <font>
      <sz val="10"/>
      <color theme="0"/>
      <name val="Arial"/>
      <family val="2"/>
    </font>
    <font>
      <sz val="12"/>
      <name val="Arial"/>
      <family val="2"/>
    </font>
    <font>
      <b/>
      <sz val="10"/>
      <color theme="1"/>
      <name val="Arial"/>
      <family val="2"/>
    </font>
    <font>
      <b/>
      <sz val="11"/>
      <name val="Arial"/>
      <family val="2"/>
    </font>
    <font>
      <b/>
      <sz val="14"/>
      <name val="Arial"/>
      <family val="2"/>
    </font>
    <font>
      <b/>
      <u/>
      <sz val="11"/>
      <name val="Arial"/>
      <family val="2"/>
    </font>
    <font>
      <sz val="11"/>
      <color theme="0"/>
      <name val="Arial"/>
      <family val="2"/>
    </font>
    <font>
      <sz val="11"/>
      <name val="Arial"/>
      <family val="2"/>
    </font>
  </fonts>
  <fills count="3">
    <fill>
      <patternFill patternType="none"/>
    </fill>
    <fill>
      <patternFill patternType="gray125"/>
    </fill>
    <fill>
      <patternFill patternType="solid">
        <fgColor theme="0"/>
        <bgColor indexed="64"/>
      </patternFill>
    </fill>
  </fills>
  <borders count="39">
    <border>
      <left/>
      <right/>
      <top/>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right/>
      <top/>
      <bottom style="medium">
        <color indexed="64"/>
      </bottom>
      <diagonal/>
    </border>
    <border>
      <left/>
      <right style="medium">
        <color indexed="64"/>
      </right>
      <top/>
      <bottom/>
      <diagonal/>
    </border>
    <border>
      <left/>
      <right style="medium">
        <color indexed="64"/>
      </right>
      <top/>
      <bottom style="medium">
        <color indexed="64"/>
      </bottom>
      <diagonal/>
    </border>
    <border>
      <left/>
      <right style="thin">
        <color indexed="64"/>
      </right>
      <top style="thin">
        <color indexed="64"/>
      </top>
      <bottom/>
      <diagonal/>
    </border>
    <border>
      <left style="medium">
        <color indexed="64"/>
      </left>
      <right/>
      <top/>
      <bottom/>
      <diagonal/>
    </border>
    <border>
      <left/>
      <right style="thin">
        <color indexed="64"/>
      </right>
      <top/>
      <bottom/>
      <diagonal/>
    </border>
    <border>
      <left style="medium">
        <color indexed="64"/>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top style="medium">
        <color indexed="64"/>
      </top>
      <bottom/>
      <diagonal/>
    </border>
    <border>
      <left style="medium">
        <color indexed="8"/>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medium">
        <color indexed="64"/>
      </left>
      <right/>
      <top style="thin">
        <color indexed="64"/>
      </top>
      <bottom/>
      <diagonal/>
    </border>
    <border>
      <left style="medium">
        <color indexed="64"/>
      </left>
      <right/>
      <top/>
      <bottom style="thin">
        <color indexed="64"/>
      </bottom>
      <diagonal/>
    </border>
    <border>
      <left/>
      <right style="thin">
        <color indexed="64"/>
      </right>
      <top/>
      <bottom style="thin">
        <color indexed="64"/>
      </bottom>
      <diagonal/>
    </border>
  </borders>
  <cellStyleXfs count="2">
    <xf numFmtId="0" fontId="0" fillId="0" borderId="0"/>
    <xf numFmtId="0" fontId="5" fillId="0" borderId="0" applyNumberFormat="0" applyFill="0" applyBorder="0" applyAlignment="0" applyProtection="0"/>
  </cellStyleXfs>
  <cellXfs count="135">
    <xf numFmtId="0" fontId="0" fillId="0" borderId="0" xfId="0"/>
    <xf numFmtId="0" fontId="0" fillId="0" borderId="0" xfId="0" applyAlignment="1">
      <alignment horizontal="left"/>
    </xf>
    <xf numFmtId="0" fontId="4" fillId="0" borderId="0" xfId="0" applyFont="1"/>
    <xf numFmtId="0" fontId="4" fillId="0" borderId="0" xfId="0" applyFont="1" applyAlignment="1">
      <alignment horizontal="left"/>
    </xf>
    <xf numFmtId="49" fontId="0" fillId="0" borderId="0" xfId="0" applyNumberFormat="1"/>
    <xf numFmtId="0" fontId="0" fillId="0" borderId="0" xfId="0" applyAlignment="1">
      <alignment horizontal="center"/>
    </xf>
    <xf numFmtId="0" fontId="6" fillId="0" borderId="0" xfId="0" applyFont="1"/>
    <xf numFmtId="14" fontId="0" fillId="0" borderId="0" xfId="0" applyNumberFormat="1" applyAlignment="1">
      <alignment horizontal="center"/>
    </xf>
    <xf numFmtId="0" fontId="2" fillId="0" borderId="0" xfId="0" applyFont="1"/>
    <xf numFmtId="0" fontId="2" fillId="0" borderId="0" xfId="0" applyFont="1" applyAlignment="1">
      <alignment horizontal="center"/>
    </xf>
    <xf numFmtId="0" fontId="0" fillId="0" borderId="0" xfId="1" applyFont="1" applyFill="1" applyBorder="1" applyAlignment="1"/>
    <xf numFmtId="0" fontId="7" fillId="0" borderId="0" xfId="0" applyFont="1" applyAlignment="1">
      <alignment horizontal="left"/>
    </xf>
    <xf numFmtId="0" fontId="7" fillId="0" borderId="0" xfId="0" applyFont="1"/>
    <xf numFmtId="9" fontId="7" fillId="0" borderId="0" xfId="0" applyNumberFormat="1" applyFont="1"/>
    <xf numFmtId="165" fontId="7" fillId="0" borderId="0" xfId="0" applyNumberFormat="1" applyFont="1"/>
    <xf numFmtId="0" fontId="3" fillId="0" borderId="0" xfId="0" applyFont="1" applyAlignment="1">
      <alignment horizontal="center"/>
    </xf>
    <xf numFmtId="164" fontId="2" fillId="0" borderId="0" xfId="0" applyNumberFormat="1" applyFont="1"/>
    <xf numFmtId="0" fontId="2" fillId="0" borderId="0" xfId="0" applyFont="1" applyAlignment="1">
      <alignment horizontal="left"/>
    </xf>
    <xf numFmtId="0" fontId="3" fillId="0" borderId="0" xfId="0" applyFont="1"/>
    <xf numFmtId="0" fontId="2" fillId="0" borderId="0" xfId="0" applyFont="1" applyAlignment="1">
      <alignment horizontal="right"/>
    </xf>
    <xf numFmtId="0" fontId="0" fillId="0" borderId="0" xfId="0" applyAlignment="1">
      <alignment horizontal="right" vertical="center" shrinkToFit="1"/>
    </xf>
    <xf numFmtId="0" fontId="0" fillId="0" borderId="0" xfId="0" applyAlignment="1">
      <alignment horizontal="right"/>
    </xf>
    <xf numFmtId="166" fontId="0" fillId="0" borderId="0" xfId="0" applyNumberFormat="1" applyAlignment="1">
      <alignment horizontal="right"/>
    </xf>
    <xf numFmtId="49" fontId="0" fillId="0" borderId="0" xfId="0" applyNumberFormat="1" applyAlignment="1">
      <alignment horizontal="right"/>
    </xf>
    <xf numFmtId="0" fontId="0" fillId="0" borderId="0" xfId="1" applyFont="1" applyFill="1" applyBorder="1" applyAlignment="1">
      <alignment horizontal="right"/>
    </xf>
    <xf numFmtId="166" fontId="0" fillId="0" borderId="0" xfId="1" applyNumberFormat="1" applyFont="1" applyFill="1" applyBorder="1" applyAlignment="1">
      <alignment horizontal="right"/>
    </xf>
    <xf numFmtId="0" fontId="2" fillId="0" borderId="0" xfId="0" applyFont="1" applyAlignment="1">
      <alignment horizontal="left" vertical="center"/>
    </xf>
    <xf numFmtId="0" fontId="2" fillId="0" borderId="0" xfId="0" applyFont="1" applyAlignment="1">
      <alignment horizontal="center" vertical="center"/>
    </xf>
    <xf numFmtId="0" fontId="0" fillId="0" borderId="0" xfId="0" applyAlignment="1">
      <alignment horizontal="center" wrapText="1"/>
    </xf>
    <xf numFmtId="9" fontId="0" fillId="0" borderId="0" xfId="0" applyNumberFormat="1"/>
    <xf numFmtId="165" fontId="0" fillId="0" borderId="0" xfId="0" applyNumberFormat="1"/>
    <xf numFmtId="49" fontId="0" fillId="0" borderId="0" xfId="0" applyNumberFormat="1" applyAlignment="1">
      <alignment horizontal="center"/>
    </xf>
    <xf numFmtId="0" fontId="2" fillId="0" borderId="0" xfId="0" applyFont="1" applyAlignment="1">
      <alignment horizontal="right" vertical="center" shrinkToFit="1"/>
    </xf>
    <xf numFmtId="0" fontId="10" fillId="0" borderId="0" xfId="0" applyFont="1"/>
    <xf numFmtId="0" fontId="0" fillId="0" borderId="0" xfId="0" applyAlignment="1">
      <alignment wrapText="1"/>
    </xf>
    <xf numFmtId="167" fontId="0" fillId="0" borderId="0" xfId="0" applyNumberFormat="1" applyAlignment="1">
      <alignment horizontal="left"/>
    </xf>
    <xf numFmtId="168" fontId="0" fillId="0" borderId="0" xfId="0" applyNumberFormat="1" applyAlignment="1">
      <alignment horizontal="left"/>
    </xf>
    <xf numFmtId="0" fontId="0" fillId="0" borderId="0" xfId="0" quotePrefix="1" applyAlignment="1">
      <alignment horizontal="left"/>
    </xf>
    <xf numFmtId="0" fontId="13" fillId="0" borderId="0" xfId="0" applyFont="1"/>
    <xf numFmtId="49" fontId="9" fillId="2" borderId="0" xfId="0" applyNumberFormat="1" applyFont="1" applyFill="1" applyAlignment="1">
      <alignment horizontal="left" wrapText="1" indent="1"/>
    </xf>
    <xf numFmtId="0" fontId="13" fillId="0" borderId="0" xfId="0" applyFont="1" applyAlignment="1">
      <alignment horizontal="left"/>
    </xf>
    <xf numFmtId="0" fontId="9" fillId="0" borderId="0" xfId="0" applyFont="1" applyAlignment="1">
      <alignment horizontal="left"/>
    </xf>
    <xf numFmtId="0" fontId="9" fillId="0" borderId="0" xfId="0" applyFont="1" applyAlignment="1">
      <alignment horizontal="center"/>
    </xf>
    <xf numFmtId="0" fontId="1" fillId="0" borderId="12" xfId="0" applyFont="1" applyBorder="1" applyAlignment="1">
      <alignment horizontal="left"/>
    </xf>
    <xf numFmtId="0" fontId="1" fillId="0" borderId="13" xfId="0" applyFont="1" applyBorder="1" applyAlignment="1">
      <alignment horizontal="left"/>
    </xf>
    <xf numFmtId="0" fontId="1" fillId="0" borderId="14" xfId="0" applyFont="1" applyBorder="1" applyAlignment="1">
      <alignment horizontal="left"/>
    </xf>
    <xf numFmtId="0" fontId="0" fillId="0" borderId="14" xfId="0" applyBorder="1"/>
    <xf numFmtId="0" fontId="0" fillId="0" borderId="15" xfId="0" applyBorder="1"/>
    <xf numFmtId="0" fontId="11" fillId="0" borderId="8" xfId="0" applyFont="1" applyBorder="1"/>
    <xf numFmtId="0" fontId="12" fillId="0" borderId="0" xfId="0" applyFont="1"/>
    <xf numFmtId="0" fontId="13" fillId="0" borderId="5" xfId="0" applyFont="1" applyBorder="1"/>
    <xf numFmtId="49" fontId="9" fillId="2" borderId="8" xfId="0" applyNumberFormat="1" applyFont="1" applyFill="1" applyBorder="1" applyAlignment="1">
      <alignment horizontal="left"/>
    </xf>
    <xf numFmtId="0" fontId="9" fillId="2" borderId="0" xfId="0" applyFont="1" applyFill="1" applyAlignment="1">
      <alignment horizontal="left" indent="1"/>
    </xf>
    <xf numFmtId="49" fontId="9" fillId="2" borderId="0" xfId="0" applyNumberFormat="1" applyFont="1" applyFill="1" applyAlignment="1">
      <alignment horizontal="left" indent="1"/>
    </xf>
    <xf numFmtId="49" fontId="9" fillId="2" borderId="0" xfId="0" applyNumberFormat="1" applyFont="1" applyFill="1" applyAlignment="1">
      <alignment horizontal="left"/>
    </xf>
    <xf numFmtId="49" fontId="9" fillId="2" borderId="5" xfId="0" applyNumberFormat="1" applyFont="1" applyFill="1" applyBorder="1" applyAlignment="1">
      <alignment horizontal="left" wrapText="1" indent="1"/>
    </xf>
    <xf numFmtId="49" fontId="9" fillId="2" borderId="16" xfId="0" applyNumberFormat="1" applyFont="1" applyFill="1" applyBorder="1" applyAlignment="1">
      <alignment horizontal="left"/>
    </xf>
    <xf numFmtId="49" fontId="9" fillId="2" borderId="4" xfId="0" applyNumberFormat="1" applyFont="1" applyFill="1" applyBorder="1" applyAlignment="1">
      <alignment horizontal="left" indent="1"/>
    </xf>
    <xf numFmtId="14" fontId="13" fillId="0" borderId="4" xfId="0" applyNumberFormat="1" applyFont="1" applyBorder="1"/>
    <xf numFmtId="49" fontId="9" fillId="2" borderId="4" xfId="0" applyNumberFormat="1" applyFont="1" applyFill="1" applyBorder="1" applyAlignment="1">
      <alignment horizontal="left"/>
    </xf>
    <xf numFmtId="0" fontId="13" fillId="0" borderId="4" xfId="0" applyFont="1" applyBorder="1"/>
    <xf numFmtId="0" fontId="13" fillId="0" borderId="6" xfId="0" applyFont="1" applyBorder="1"/>
    <xf numFmtId="0" fontId="2" fillId="0" borderId="19" xfId="0" applyFont="1" applyBorder="1" applyAlignment="1">
      <alignment horizontal="left"/>
    </xf>
    <xf numFmtId="0" fontId="0" fillId="0" borderId="19" xfId="0" applyBorder="1" applyAlignment="1">
      <alignment horizontal="left"/>
    </xf>
    <xf numFmtId="14" fontId="13" fillId="0" borderId="0" xfId="0" applyNumberFormat="1" applyFont="1"/>
    <xf numFmtId="49" fontId="9" fillId="2" borderId="0" xfId="0" applyNumberFormat="1" applyFont="1" applyFill="1" applyAlignment="1">
      <alignment wrapText="1"/>
    </xf>
    <xf numFmtId="49" fontId="9" fillId="2" borderId="0" xfId="0" applyNumberFormat="1" applyFont="1" applyFill="1"/>
    <xf numFmtId="49" fontId="9" fillId="2" borderId="4" xfId="0" applyNumberFormat="1" applyFont="1" applyFill="1" applyBorder="1"/>
    <xf numFmtId="0" fontId="0" fillId="0" borderId="4" xfId="0" applyBorder="1"/>
    <xf numFmtId="0" fontId="0" fillId="0" borderId="18" xfId="0" applyBorder="1" applyAlignment="1">
      <alignment horizontal="left"/>
    </xf>
    <xf numFmtId="0" fontId="2" fillId="0" borderId="18" xfId="0" applyFont="1" applyBorder="1" applyAlignment="1">
      <alignment horizontal="left"/>
    </xf>
    <xf numFmtId="0" fontId="2" fillId="0" borderId="19" xfId="0" applyFont="1" applyBorder="1"/>
    <xf numFmtId="0" fontId="0" fillId="0" borderId="22" xfId="0" applyBorder="1"/>
    <xf numFmtId="0" fontId="0" fillId="0" borderId="2" xfId="0" applyBorder="1" applyAlignment="1">
      <alignment horizontal="left"/>
    </xf>
    <xf numFmtId="0" fontId="0" fillId="0" borderId="3" xfId="0" applyBorder="1" applyAlignment="1">
      <alignment horizontal="left"/>
    </xf>
    <xf numFmtId="167" fontId="0" fillId="0" borderId="3" xfId="0" applyNumberFormat="1" applyBorder="1" applyAlignment="1">
      <alignment horizontal="left"/>
    </xf>
    <xf numFmtId="168" fontId="0" fillId="0" borderId="3" xfId="0" applyNumberFormat="1" applyBorder="1" applyAlignment="1">
      <alignment horizontal="left"/>
    </xf>
    <xf numFmtId="0" fontId="0" fillId="0" borderId="28" xfId="0" applyBorder="1" applyAlignment="1">
      <alignment horizontal="left"/>
    </xf>
    <xf numFmtId="167" fontId="0" fillId="0" borderId="2" xfId="0" applyNumberFormat="1" applyBorder="1" applyAlignment="1">
      <alignment horizontal="left"/>
    </xf>
    <xf numFmtId="164" fontId="0" fillId="0" borderId="22" xfId="0" applyNumberFormat="1" applyBorder="1" applyAlignment="1">
      <alignment horizontal="right"/>
    </xf>
    <xf numFmtId="0" fontId="0" fillId="0" borderId="22" xfId="0" applyBorder="1" applyAlignment="1">
      <alignment horizontal="left"/>
    </xf>
    <xf numFmtId="164" fontId="0" fillId="0" borderId="26" xfId="0" applyNumberFormat="1" applyBorder="1" applyAlignment="1">
      <alignment horizontal="left"/>
    </xf>
    <xf numFmtId="0" fontId="0" fillId="0" borderId="26" xfId="0" applyBorder="1"/>
    <xf numFmtId="0" fontId="4" fillId="0" borderId="12" xfId="0" applyFont="1" applyBorder="1" applyAlignment="1">
      <alignment horizontal="center" vertical="top" wrapText="1"/>
    </xf>
    <xf numFmtId="0" fontId="4" fillId="0" borderId="14" xfId="0" applyFont="1" applyBorder="1" applyAlignment="1">
      <alignment horizontal="center" vertical="top" wrapText="1"/>
    </xf>
    <xf numFmtId="0" fontId="4" fillId="0" borderId="15" xfId="0" applyFont="1" applyBorder="1" applyAlignment="1">
      <alignment horizontal="center" vertical="top" wrapText="1"/>
    </xf>
    <xf numFmtId="0" fontId="4" fillId="0" borderId="8" xfId="0" applyFont="1" applyBorder="1" applyAlignment="1">
      <alignment horizontal="center" vertical="top" wrapText="1"/>
    </xf>
    <xf numFmtId="0" fontId="4" fillId="0" borderId="0" xfId="0" applyFont="1" applyAlignment="1">
      <alignment horizontal="center" vertical="top" wrapText="1"/>
    </xf>
    <xf numFmtId="0" fontId="4" fillId="0" borderId="5" xfId="0" applyFont="1" applyBorder="1" applyAlignment="1">
      <alignment horizontal="center" vertical="top" wrapText="1"/>
    </xf>
    <xf numFmtId="0" fontId="4" fillId="0" borderId="16" xfId="0" applyFont="1" applyBorder="1" applyAlignment="1">
      <alignment horizontal="center" vertical="top" wrapText="1"/>
    </xf>
    <xf numFmtId="0" fontId="4" fillId="0" borderId="4" xfId="0" applyFont="1" applyBorder="1" applyAlignment="1">
      <alignment horizontal="center" vertical="top" wrapText="1"/>
    </xf>
    <xf numFmtId="0" fontId="4" fillId="0" borderId="6" xfId="0" applyFont="1" applyBorder="1" applyAlignment="1">
      <alignment horizontal="center" vertical="top" wrapText="1"/>
    </xf>
    <xf numFmtId="0" fontId="0" fillId="0" borderId="0" xfId="0"/>
    <xf numFmtId="0" fontId="2" fillId="0" borderId="17" xfId="0" applyFont="1" applyBorder="1"/>
    <xf numFmtId="0" fontId="2" fillId="0" borderId="18" xfId="0" applyFont="1" applyBorder="1"/>
    <xf numFmtId="0" fontId="0" fillId="0" borderId="0" xfId="0" applyAlignment="1">
      <alignment horizontal="center"/>
    </xf>
    <xf numFmtId="0" fontId="0" fillId="0" borderId="36" xfId="0" applyBorder="1" applyAlignment="1">
      <alignment vertical="top"/>
    </xf>
    <xf numFmtId="0" fontId="0" fillId="0" borderId="7" xfId="0" applyBorder="1" applyAlignment="1">
      <alignment vertical="top"/>
    </xf>
    <xf numFmtId="0" fontId="0" fillId="0" borderId="8" xfId="0" applyBorder="1" applyAlignment="1">
      <alignment vertical="top"/>
    </xf>
    <xf numFmtId="0" fontId="0" fillId="0" borderId="9" xfId="0" applyBorder="1" applyAlignment="1">
      <alignment vertical="top"/>
    </xf>
    <xf numFmtId="0" fontId="0" fillId="0" borderId="37" xfId="0" applyBorder="1" applyAlignment="1">
      <alignment vertical="top"/>
    </xf>
    <xf numFmtId="0" fontId="0" fillId="0" borderId="38" xfId="0" applyBorder="1" applyAlignment="1">
      <alignment vertical="top"/>
    </xf>
    <xf numFmtId="0" fontId="0" fillId="0" borderId="1" xfId="0" applyBorder="1" applyAlignment="1">
      <alignment horizontal="left"/>
    </xf>
    <xf numFmtId="0" fontId="0" fillId="0" borderId="3" xfId="0" applyBorder="1" applyAlignment="1">
      <alignment horizontal="left"/>
    </xf>
    <xf numFmtId="0" fontId="0" fillId="0" borderId="33" xfId="0" applyBorder="1" applyAlignment="1">
      <alignment horizontal="left"/>
    </xf>
    <xf numFmtId="0" fontId="0" fillId="0" borderId="28" xfId="0" applyBorder="1" applyAlignment="1">
      <alignment horizontal="left"/>
    </xf>
    <xf numFmtId="0" fontId="0" fillId="0" borderId="22" xfId="0" applyBorder="1" applyAlignment="1">
      <alignment vertical="top" wrapText="1"/>
    </xf>
    <xf numFmtId="0" fontId="0" fillId="0" borderId="26" xfId="0" applyBorder="1" applyAlignment="1">
      <alignment vertical="top" wrapText="1"/>
    </xf>
    <xf numFmtId="0" fontId="0" fillId="0" borderId="21" xfId="0" applyBorder="1"/>
    <xf numFmtId="0" fontId="0" fillId="0" borderId="34" xfId="0" applyBorder="1"/>
    <xf numFmtId="0" fontId="0" fillId="0" borderId="31" xfId="0" applyBorder="1"/>
    <xf numFmtId="0" fontId="0" fillId="0" borderId="1" xfId="0" applyBorder="1"/>
    <xf numFmtId="0" fontId="0" fillId="0" borderId="32" xfId="0" applyBorder="1"/>
    <xf numFmtId="0" fontId="0" fillId="0" borderId="33" xfId="0" applyBorder="1"/>
    <xf numFmtId="0" fontId="0" fillId="0" borderId="30" xfId="0" applyBorder="1" applyAlignment="1">
      <alignment horizontal="left"/>
    </xf>
    <xf numFmtId="0" fontId="0" fillId="0" borderId="2" xfId="0" applyBorder="1" applyAlignment="1">
      <alignment horizontal="left"/>
    </xf>
    <xf numFmtId="0" fontId="0" fillId="0" borderId="22" xfId="0" applyBorder="1" applyAlignment="1">
      <alignment horizontal="left"/>
    </xf>
    <xf numFmtId="0" fontId="0" fillId="0" borderId="26" xfId="0" applyBorder="1" applyAlignment="1">
      <alignment horizontal="left"/>
    </xf>
    <xf numFmtId="0" fontId="0" fillId="0" borderId="20" xfId="0" applyBorder="1" applyAlignment="1">
      <alignment horizontal="left"/>
    </xf>
    <xf numFmtId="0" fontId="0" fillId="0" borderId="25" xfId="0" applyBorder="1" applyAlignment="1">
      <alignment horizontal="left"/>
    </xf>
    <xf numFmtId="0" fontId="0" fillId="0" borderId="24" xfId="0" applyBorder="1" applyAlignment="1">
      <alignment horizontal="left"/>
    </xf>
    <xf numFmtId="0" fontId="0" fillId="0" borderId="27" xfId="0" applyBorder="1" applyAlignment="1">
      <alignment horizontal="left"/>
    </xf>
    <xf numFmtId="0" fontId="0" fillId="0" borderId="23" xfId="0" applyBorder="1"/>
    <xf numFmtId="0" fontId="0" fillId="0" borderId="35" xfId="0" applyBorder="1"/>
    <xf numFmtId="0" fontId="8" fillId="0" borderId="17" xfId="0" applyFont="1" applyBorder="1"/>
    <xf numFmtId="0" fontId="8" fillId="0" borderId="18" xfId="0" applyFont="1" applyBorder="1"/>
    <xf numFmtId="0" fontId="0" fillId="0" borderId="29" xfId="0" applyBorder="1"/>
    <xf numFmtId="0" fontId="0" fillId="0" borderId="30" xfId="0" applyBorder="1"/>
    <xf numFmtId="0" fontId="0" fillId="0" borderId="10" xfId="0" applyBorder="1"/>
    <xf numFmtId="0" fontId="0" fillId="0" borderId="11" xfId="0" applyBorder="1"/>
    <xf numFmtId="0" fontId="0" fillId="0" borderId="22" xfId="0" applyBorder="1"/>
    <xf numFmtId="0" fontId="0" fillId="0" borderId="24" xfId="0" applyBorder="1"/>
    <xf numFmtId="0" fontId="0" fillId="0" borderId="14" xfId="0" applyBorder="1"/>
    <xf numFmtId="49" fontId="0" fillId="2" borderId="10" xfId="0" applyNumberFormat="1" applyFill="1" applyBorder="1"/>
    <xf numFmtId="49" fontId="0" fillId="2" borderId="20" xfId="0" applyNumberFormat="1" applyFill="1" applyBorder="1"/>
  </cellXfs>
  <cellStyles count="2">
    <cellStyle name="Hyperlink" xfId="1" builtinId="8"/>
    <cellStyle name="Normal" xfId="0" builtinId="0"/>
  </cellStyles>
  <dxfs count="10">
    <dxf>
      <fill>
        <patternFill>
          <bgColor rgb="FF02D402"/>
        </patternFill>
      </fill>
    </dxf>
    <dxf>
      <fill>
        <patternFill>
          <bgColor rgb="FFFF2F2F"/>
        </patternFill>
      </fill>
    </dxf>
    <dxf>
      <fill>
        <patternFill>
          <bgColor rgb="FFFFC647"/>
        </patternFill>
      </fill>
    </dxf>
    <dxf>
      <fill>
        <patternFill>
          <bgColor rgb="FFC3D69B"/>
        </patternFill>
      </fill>
    </dxf>
    <dxf>
      <fill>
        <patternFill>
          <bgColor rgb="FF83A343"/>
        </patternFill>
      </fill>
    </dxf>
    <dxf>
      <fill>
        <patternFill>
          <bgColor rgb="FF02D402"/>
        </patternFill>
      </fill>
    </dxf>
    <dxf>
      <fill>
        <patternFill>
          <bgColor rgb="FFFF2F2F"/>
        </patternFill>
      </fill>
    </dxf>
    <dxf>
      <fill>
        <patternFill>
          <bgColor rgb="FFFFC647"/>
        </patternFill>
      </fill>
    </dxf>
    <dxf>
      <fill>
        <patternFill>
          <bgColor rgb="FFC3D69B"/>
        </patternFill>
      </fill>
    </dxf>
    <dxf>
      <fill>
        <patternFill>
          <bgColor rgb="FF83A343"/>
        </patternFill>
      </fill>
    </dxf>
  </dxfs>
  <tableStyles count="0" defaultTableStyle="TableStyleMedium9" defaultPivotStyle="PivotStyleLight16"/>
  <colors>
    <mruColors>
      <color rgb="FF83A343"/>
      <color rgb="FFC3D69B"/>
      <color rgb="FFFF2F2F"/>
      <color rgb="FF02D402"/>
      <color rgb="FFFFC647"/>
      <color rgb="FF017901"/>
      <color rgb="FFFF0000"/>
      <color rgb="FFFF8B8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3</xdr:col>
      <xdr:colOff>2497514</xdr:colOff>
      <xdr:row>0</xdr:row>
      <xdr:rowOff>25429</xdr:rowOff>
    </xdr:from>
    <xdr:to>
      <xdr:col>9</xdr:col>
      <xdr:colOff>981045</xdr:colOff>
      <xdr:row>3</xdr:row>
      <xdr:rowOff>114300</xdr:rowOff>
    </xdr:to>
    <xdr:pic>
      <xdr:nvPicPr>
        <xdr:cNvPr id="1103" name="Picture 23">
          <a:extLst>
            <a:ext uri="{FF2B5EF4-FFF2-40B4-BE49-F238E27FC236}">
              <a16:creationId xmlns:a16="http://schemas.microsoft.com/office/drawing/2014/main" id="{00000000-0008-0000-0000-00004F04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bwMode="auto">
        <a:xfrm>
          <a:off x="4564439" y="25429"/>
          <a:ext cx="4570006" cy="72704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round/>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indexed="52"/>
  </sheetPr>
  <dimension ref="A1:AB88"/>
  <sheetViews>
    <sheetView showGridLines="0" tabSelected="1" zoomScaleNormal="100" zoomScalePageLayoutView="85" workbookViewId="0">
      <selection activeCell="H16" sqref="H16:J16"/>
    </sheetView>
  </sheetViews>
  <sheetFormatPr defaultColWidth="0" defaultRowHeight="12.75" zeroHeight="1" x14ac:dyDescent="0.2"/>
  <cols>
    <col min="1" max="1" width="0.42578125" customWidth="1"/>
    <col min="2" max="2" width="20.85546875" customWidth="1"/>
    <col min="3" max="3" width="9.7109375" customWidth="1"/>
    <col min="4" max="4" width="37.5703125" customWidth="1"/>
    <col min="5" max="5" width="2.42578125" customWidth="1"/>
    <col min="6" max="6" width="15.7109375" customWidth="1"/>
    <col min="7" max="7" width="24.28515625" customWidth="1"/>
    <col min="8" max="8" width="9.28515625" customWidth="1"/>
    <col min="9" max="9" width="2" bestFit="1" customWidth="1"/>
    <col min="10" max="10" width="15.7109375" customWidth="1"/>
    <col min="11" max="11" width="1" customWidth="1"/>
    <col min="12" max="12" width="11.42578125" hidden="1" customWidth="1"/>
    <col min="13" max="13" width="1.7109375" hidden="1" customWidth="1"/>
    <col min="14" max="14" width="12.42578125" hidden="1" customWidth="1"/>
    <col min="15" max="15" width="16.7109375" hidden="1" customWidth="1"/>
    <col min="16" max="16" width="7.140625" hidden="1" customWidth="1"/>
    <col min="17" max="17" width="5.28515625" hidden="1" customWidth="1"/>
    <col min="18" max="18" width="6.28515625" hidden="1" customWidth="1"/>
    <col min="19" max="19" width="0.140625" hidden="1" customWidth="1"/>
    <col min="20" max="20" width="11.42578125" hidden="1" customWidth="1"/>
    <col min="21" max="21" width="21.85546875" hidden="1" customWidth="1"/>
    <col min="22" max="22" width="11.42578125" hidden="1" customWidth="1"/>
    <col min="23" max="23" width="4" hidden="1" customWidth="1"/>
    <col min="24" max="24" width="23.85546875" hidden="1" customWidth="1"/>
    <col min="25" max="25" width="11.42578125" hidden="1" customWidth="1"/>
    <col min="26" max="26" width="2.85546875" hidden="1" customWidth="1"/>
    <col min="27" max="27" width="13.7109375" hidden="1" customWidth="1"/>
    <col min="28" max="28" width="0" hidden="1" customWidth="1"/>
    <col min="29" max="16384" width="11.28515625" hidden="1"/>
  </cols>
  <sheetData>
    <row r="1" spans="1:27" ht="20.25" x14ac:dyDescent="0.3">
      <c r="B1" s="43" t="s">
        <v>62</v>
      </c>
      <c r="C1" s="44"/>
      <c r="D1" s="44"/>
      <c r="E1" s="45"/>
      <c r="F1" s="45"/>
      <c r="G1" s="45"/>
      <c r="H1" s="46"/>
      <c r="I1" s="46"/>
      <c r="J1" s="47"/>
    </row>
    <row r="2" spans="1:27" ht="15" x14ac:dyDescent="0.25">
      <c r="B2" s="48"/>
      <c r="C2" s="49" t="s">
        <v>64</v>
      </c>
      <c r="D2" s="38"/>
      <c r="E2" s="38"/>
      <c r="F2" s="38"/>
      <c r="G2" s="38"/>
      <c r="H2" s="38"/>
      <c r="I2" s="38"/>
      <c r="J2" s="50"/>
    </row>
    <row r="3" spans="1:27" ht="15" x14ac:dyDescent="0.25">
      <c r="A3" s="6" t="s">
        <v>65</v>
      </c>
      <c r="B3" s="51" t="s">
        <v>29</v>
      </c>
      <c r="C3" s="52" t="str">
        <f>CONCATENATE(A3,"_07_S01")</f>
        <v>Field=Dnumber_07_S01</v>
      </c>
      <c r="D3" s="38"/>
      <c r="E3" s="38"/>
      <c r="F3" s="38"/>
      <c r="G3" s="38"/>
      <c r="H3" s="38"/>
      <c r="I3" s="38"/>
      <c r="J3" s="50"/>
    </row>
    <row r="4" spans="1:27" ht="15" x14ac:dyDescent="0.25">
      <c r="A4" s="6" t="s">
        <v>63</v>
      </c>
      <c r="B4" s="51" t="s">
        <v>30</v>
      </c>
      <c r="C4" s="52" t="str">
        <f>LEFT(A4,LEN(A4)-7)</f>
        <v>Field=Proj</v>
      </c>
      <c r="D4" s="38"/>
      <c r="E4" s="38"/>
      <c r="F4" s="38"/>
      <c r="G4" s="38"/>
      <c r="H4" s="38"/>
      <c r="I4" s="38"/>
      <c r="J4" s="50"/>
    </row>
    <row r="5" spans="1:27" ht="12.75" customHeight="1" x14ac:dyDescent="0.25">
      <c r="B5" s="51" t="s">
        <v>31</v>
      </c>
      <c r="C5" s="53" t="s">
        <v>36</v>
      </c>
      <c r="D5" s="38"/>
      <c r="E5" s="54" t="s">
        <v>33</v>
      </c>
      <c r="G5" s="65" t="s">
        <v>39</v>
      </c>
      <c r="H5" s="65"/>
      <c r="I5" s="39"/>
      <c r="J5" s="55"/>
    </row>
    <row r="6" spans="1:27" ht="15" x14ac:dyDescent="0.25">
      <c r="B6" s="51" t="s">
        <v>32</v>
      </c>
      <c r="C6" s="53" t="s">
        <v>37</v>
      </c>
      <c r="D6" s="38"/>
      <c r="E6" s="54" t="s">
        <v>34</v>
      </c>
      <c r="G6" s="66" t="s">
        <v>40</v>
      </c>
      <c r="H6" s="66"/>
      <c r="I6" s="39"/>
      <c r="J6" s="55"/>
    </row>
    <row r="7" spans="1:27" ht="15.75" thickBot="1" x14ac:dyDescent="0.3">
      <c r="B7" s="56" t="s">
        <v>0</v>
      </c>
      <c r="C7" s="57" t="s">
        <v>38</v>
      </c>
      <c r="D7" s="58"/>
      <c r="E7" s="59" t="s">
        <v>35</v>
      </c>
      <c r="F7" s="68"/>
      <c r="G7" s="67" t="s">
        <v>41</v>
      </c>
      <c r="H7" s="67"/>
      <c r="I7" s="60"/>
      <c r="J7" s="61"/>
    </row>
    <row r="8" spans="1:27" ht="15.75" thickBot="1" x14ac:dyDescent="0.3">
      <c r="B8" s="59"/>
      <c r="C8" s="57"/>
      <c r="D8" s="58"/>
      <c r="E8" s="64"/>
      <c r="F8" s="68"/>
      <c r="G8" s="67"/>
      <c r="H8" s="67"/>
      <c r="I8" s="60"/>
      <c r="J8" s="61"/>
    </row>
    <row r="9" spans="1:27" ht="13.5" thickBot="1" x14ac:dyDescent="0.25">
      <c r="B9" s="93" t="s">
        <v>42</v>
      </c>
      <c r="C9" s="94"/>
      <c r="D9" s="62"/>
      <c r="E9" s="17"/>
      <c r="F9" s="93" t="s">
        <v>1</v>
      </c>
      <c r="G9" s="94"/>
      <c r="H9" s="69"/>
      <c r="I9" s="70"/>
      <c r="J9" s="71"/>
    </row>
    <row r="10" spans="1:27" x14ac:dyDescent="0.2">
      <c r="B10" s="133" t="s">
        <v>153</v>
      </c>
      <c r="C10" s="134"/>
      <c r="D10" s="73" t="s">
        <v>2</v>
      </c>
      <c r="E10" s="1"/>
      <c r="F10" s="128" t="s">
        <v>73</v>
      </c>
      <c r="G10" s="129"/>
      <c r="H10" s="118" t="s">
        <v>121</v>
      </c>
      <c r="I10" s="118"/>
      <c r="J10" s="119"/>
    </row>
    <row r="11" spans="1:27" x14ac:dyDescent="0.2">
      <c r="B11" s="108" t="s">
        <v>93</v>
      </c>
      <c r="C11" s="130"/>
      <c r="D11" s="74" t="s">
        <v>2</v>
      </c>
      <c r="E11" s="1"/>
      <c r="F11" s="108" t="s">
        <v>123</v>
      </c>
      <c r="G11" s="109"/>
      <c r="H11" s="79">
        <v>84</v>
      </c>
      <c r="I11" s="80" t="s">
        <v>147</v>
      </c>
      <c r="J11" s="81">
        <v>190</v>
      </c>
    </row>
    <row r="12" spans="1:27" x14ac:dyDescent="0.2">
      <c r="B12" s="108" t="s">
        <v>66</v>
      </c>
      <c r="C12" s="130"/>
      <c r="D12" s="74" t="s">
        <v>60</v>
      </c>
      <c r="E12" s="1"/>
      <c r="F12" s="108" t="s">
        <v>74</v>
      </c>
      <c r="G12" s="109"/>
      <c r="H12" s="72" t="s">
        <v>105</v>
      </c>
      <c r="I12" s="72"/>
      <c r="J12" s="82" t="s">
        <v>148</v>
      </c>
    </row>
    <row r="13" spans="1:27" x14ac:dyDescent="0.2">
      <c r="B13" s="108" t="s">
        <v>67</v>
      </c>
      <c r="C13" s="130"/>
      <c r="D13" s="75">
        <v>60</v>
      </c>
      <c r="E13" s="35"/>
      <c r="F13" s="108" t="s">
        <v>124</v>
      </c>
      <c r="G13" s="109"/>
      <c r="H13" s="79">
        <v>524.79999999999995</v>
      </c>
      <c r="I13" s="80" t="s">
        <v>147</v>
      </c>
      <c r="J13" s="81">
        <v>500</v>
      </c>
      <c r="AA13" s="1"/>
    </row>
    <row r="14" spans="1:27" x14ac:dyDescent="0.2">
      <c r="B14" s="108" t="s">
        <v>92</v>
      </c>
      <c r="C14" s="130"/>
      <c r="D14" s="76">
        <v>1.4</v>
      </c>
      <c r="E14" s="36"/>
      <c r="F14" s="108" t="s">
        <v>75</v>
      </c>
      <c r="G14" s="109"/>
      <c r="H14" s="116" t="s">
        <v>125</v>
      </c>
      <c r="I14" s="116"/>
      <c r="J14" s="117"/>
      <c r="AA14" s="1"/>
    </row>
    <row r="15" spans="1:27" x14ac:dyDescent="0.2">
      <c r="B15" s="108" t="s">
        <v>68</v>
      </c>
      <c r="C15" s="130"/>
      <c r="D15" s="74" t="s">
        <v>100</v>
      </c>
      <c r="E15" s="1"/>
      <c r="F15" s="108" t="s">
        <v>95</v>
      </c>
      <c r="G15" s="109"/>
      <c r="H15" s="116" t="s">
        <v>105</v>
      </c>
      <c r="I15" s="116"/>
      <c r="J15" s="117"/>
      <c r="AA15" s="1"/>
    </row>
    <row r="16" spans="1:27" x14ac:dyDescent="0.2">
      <c r="B16" s="108" t="s">
        <v>69</v>
      </c>
      <c r="C16" s="130"/>
      <c r="D16" s="74" t="s">
        <v>104</v>
      </c>
      <c r="E16" s="1"/>
      <c r="F16" s="108" t="s">
        <v>94</v>
      </c>
      <c r="G16" s="109"/>
      <c r="H16" s="116" t="s">
        <v>105</v>
      </c>
      <c r="I16" s="116"/>
      <c r="J16" s="117"/>
      <c r="W16" s="1"/>
    </row>
    <row r="17" spans="2:28" x14ac:dyDescent="0.2">
      <c r="B17" s="108" t="s">
        <v>70</v>
      </c>
      <c r="C17" s="130"/>
      <c r="D17" s="74" t="s">
        <v>104</v>
      </c>
      <c r="E17" s="1"/>
      <c r="F17" s="108" t="s">
        <v>96</v>
      </c>
      <c r="G17" s="109"/>
      <c r="H17" s="116" t="s">
        <v>105</v>
      </c>
      <c r="I17" s="116"/>
      <c r="J17" s="117"/>
    </row>
    <row r="18" spans="2:28" x14ac:dyDescent="0.2">
      <c r="B18" s="108" t="s">
        <v>10</v>
      </c>
      <c r="C18" s="130"/>
      <c r="D18" s="74" t="s">
        <v>105</v>
      </c>
      <c r="E18" s="1"/>
      <c r="F18" s="108" t="s">
        <v>81</v>
      </c>
      <c r="G18" s="109"/>
      <c r="H18" s="116" t="s">
        <v>105</v>
      </c>
      <c r="I18" s="116"/>
      <c r="J18" s="117"/>
    </row>
    <row r="19" spans="2:28" x14ac:dyDescent="0.2">
      <c r="B19" s="108" t="s">
        <v>102</v>
      </c>
      <c r="C19" s="130"/>
      <c r="D19" s="74" t="s">
        <v>107</v>
      </c>
      <c r="E19" s="1"/>
      <c r="F19" s="108" t="s">
        <v>16</v>
      </c>
      <c r="G19" s="109"/>
      <c r="H19" s="116" t="s">
        <v>105</v>
      </c>
      <c r="I19" s="116"/>
      <c r="J19" s="117"/>
    </row>
    <row r="20" spans="2:28" ht="13.5" thickBot="1" x14ac:dyDescent="0.25">
      <c r="B20" s="122" t="s">
        <v>103</v>
      </c>
      <c r="C20" s="131"/>
      <c r="D20" s="77" t="s">
        <v>107</v>
      </c>
      <c r="E20" s="1"/>
      <c r="F20" s="108" t="s">
        <v>76</v>
      </c>
      <c r="G20" s="109"/>
      <c r="H20" s="116" t="s">
        <v>131</v>
      </c>
      <c r="I20" s="116"/>
      <c r="J20" s="117"/>
      <c r="K20" s="95"/>
    </row>
    <row r="21" spans="2:28" ht="13.5" thickBot="1" x14ac:dyDescent="0.25">
      <c r="B21" s="132"/>
      <c r="C21" s="132"/>
      <c r="D21" s="1"/>
      <c r="E21" s="1"/>
      <c r="F21" s="96" t="s">
        <v>77</v>
      </c>
      <c r="G21" s="97"/>
      <c r="H21" s="106" t="s">
        <v>149</v>
      </c>
      <c r="I21" s="106"/>
      <c r="J21" s="107"/>
      <c r="K21" s="95"/>
    </row>
    <row r="22" spans="2:28" ht="13.5" thickBot="1" x14ac:dyDescent="0.25">
      <c r="B22" s="124" t="s">
        <v>71</v>
      </c>
      <c r="C22" s="125"/>
      <c r="D22" s="63"/>
      <c r="E22" s="1"/>
      <c r="F22" s="98"/>
      <c r="G22" s="99"/>
      <c r="H22" s="106"/>
      <c r="I22" s="106"/>
      <c r="J22" s="107"/>
      <c r="K22" s="95"/>
    </row>
    <row r="23" spans="2:28" x14ac:dyDescent="0.2">
      <c r="B23" s="126" t="s">
        <v>101</v>
      </c>
      <c r="C23" s="127"/>
      <c r="D23" s="73" t="s">
        <v>26</v>
      </c>
      <c r="E23" s="1"/>
      <c r="F23" s="100"/>
      <c r="G23" s="101"/>
      <c r="H23" s="106"/>
      <c r="I23" s="106"/>
      <c r="J23" s="107"/>
      <c r="AA23" s="2"/>
      <c r="AB23" s="2"/>
    </row>
    <row r="24" spans="2:28" x14ac:dyDescent="0.2">
      <c r="B24" s="110" t="s">
        <v>108</v>
      </c>
      <c r="C24" s="111"/>
      <c r="D24" s="74" t="s">
        <v>152</v>
      </c>
      <c r="E24" s="1"/>
      <c r="F24" s="108" t="s">
        <v>78</v>
      </c>
      <c r="G24" s="109"/>
      <c r="H24" s="116" t="s">
        <v>150</v>
      </c>
      <c r="I24" s="116"/>
      <c r="J24" s="117"/>
      <c r="AA24" s="2"/>
      <c r="AB24" s="2"/>
    </row>
    <row r="25" spans="2:28" x14ac:dyDescent="0.2">
      <c r="B25" s="110" t="s">
        <v>110</v>
      </c>
      <c r="C25" s="111"/>
      <c r="D25" s="74" t="s">
        <v>111</v>
      </c>
      <c r="E25" s="1"/>
      <c r="F25" s="108" t="s">
        <v>14</v>
      </c>
      <c r="G25" s="109"/>
      <c r="H25" s="116" t="s">
        <v>134</v>
      </c>
      <c r="I25" s="116"/>
      <c r="J25" s="117"/>
      <c r="AA25" s="2"/>
      <c r="AB25" s="2"/>
    </row>
    <row r="26" spans="2:28" x14ac:dyDescent="0.2">
      <c r="B26" s="110" t="s">
        <v>8</v>
      </c>
      <c r="C26" s="111"/>
      <c r="D26" s="74" t="s">
        <v>104</v>
      </c>
      <c r="E26" s="1"/>
      <c r="F26" s="108" t="s">
        <v>79</v>
      </c>
      <c r="G26" s="109"/>
      <c r="H26" s="116" t="s">
        <v>15</v>
      </c>
      <c r="I26" s="116"/>
      <c r="J26" s="117"/>
      <c r="AA26" s="3"/>
      <c r="AB26" s="2"/>
    </row>
    <row r="27" spans="2:28" ht="13.5" thickBot="1" x14ac:dyDescent="0.25">
      <c r="B27" s="112" t="s">
        <v>72</v>
      </c>
      <c r="C27" s="113"/>
      <c r="D27" s="77" t="s">
        <v>114</v>
      </c>
      <c r="E27" s="1"/>
      <c r="F27" s="122" t="s">
        <v>80</v>
      </c>
      <c r="G27" s="123"/>
      <c r="H27" s="120" t="s">
        <v>151</v>
      </c>
      <c r="I27" s="120"/>
      <c r="J27" s="121"/>
      <c r="AA27" s="3"/>
      <c r="AB27" s="2"/>
    </row>
    <row r="28" spans="2:28" ht="13.5" thickBot="1" x14ac:dyDescent="0.25">
      <c r="B28" s="92"/>
      <c r="C28" s="92"/>
      <c r="D28" s="1"/>
      <c r="E28" s="1"/>
      <c r="F28" s="92"/>
      <c r="G28" s="92"/>
      <c r="H28" s="1"/>
      <c r="I28" s="1"/>
      <c r="J28" s="1"/>
      <c r="AA28" s="2"/>
      <c r="AB28" s="2"/>
    </row>
    <row r="29" spans="2:28" ht="13.5" thickBot="1" x14ac:dyDescent="0.25">
      <c r="B29" s="124" t="s">
        <v>82</v>
      </c>
      <c r="C29" s="125"/>
      <c r="D29" s="63"/>
      <c r="E29" s="1"/>
      <c r="F29" s="124" t="s">
        <v>85</v>
      </c>
      <c r="G29" s="125"/>
      <c r="H29" s="69"/>
      <c r="I29" s="69"/>
      <c r="J29" s="63"/>
    </row>
    <row r="30" spans="2:28" x14ac:dyDescent="0.2">
      <c r="B30" s="126" t="s">
        <v>83</v>
      </c>
      <c r="C30" s="127"/>
      <c r="D30" s="78">
        <v>100</v>
      </c>
      <c r="E30" s="35"/>
      <c r="F30" s="126" t="s">
        <v>86</v>
      </c>
      <c r="G30" s="127"/>
      <c r="H30" s="114" t="s">
        <v>105</v>
      </c>
      <c r="I30" s="114"/>
      <c r="J30" s="115"/>
      <c r="AA30" s="4"/>
    </row>
    <row r="31" spans="2:28" x14ac:dyDescent="0.2">
      <c r="B31" s="110" t="s">
        <v>91</v>
      </c>
      <c r="C31" s="111"/>
      <c r="D31" s="75">
        <v>220</v>
      </c>
      <c r="E31" s="35"/>
      <c r="F31" s="110" t="s">
        <v>87</v>
      </c>
      <c r="G31" s="111"/>
      <c r="H31" s="102" t="s">
        <v>105</v>
      </c>
      <c r="I31" s="102"/>
      <c r="J31" s="103"/>
      <c r="S31" s="1"/>
      <c r="AA31" s="4"/>
    </row>
    <row r="32" spans="2:28" x14ac:dyDescent="0.2">
      <c r="B32" s="110" t="s">
        <v>17</v>
      </c>
      <c r="C32" s="111"/>
      <c r="D32" s="74" t="s">
        <v>105</v>
      </c>
      <c r="E32" s="1"/>
      <c r="F32" s="110" t="s">
        <v>88</v>
      </c>
      <c r="G32" s="111"/>
      <c r="H32" s="102" t="s">
        <v>105</v>
      </c>
      <c r="I32" s="102"/>
      <c r="J32" s="103"/>
      <c r="S32" s="1"/>
    </row>
    <row r="33" spans="2:27" x14ac:dyDescent="0.2">
      <c r="B33" s="110" t="s">
        <v>19</v>
      </c>
      <c r="C33" s="111"/>
      <c r="D33" s="74" t="s">
        <v>105</v>
      </c>
      <c r="E33" s="1"/>
      <c r="F33" s="110" t="s">
        <v>89</v>
      </c>
      <c r="G33" s="111"/>
      <c r="H33" s="102" t="s">
        <v>105</v>
      </c>
      <c r="I33" s="102"/>
      <c r="J33" s="103"/>
    </row>
    <row r="34" spans="2:27" x14ac:dyDescent="0.2">
      <c r="B34" s="110" t="s">
        <v>22</v>
      </c>
      <c r="C34" s="111"/>
      <c r="D34" s="74" t="s">
        <v>105</v>
      </c>
      <c r="E34" s="1"/>
      <c r="F34" s="110" t="s">
        <v>90</v>
      </c>
      <c r="G34" s="111"/>
      <c r="H34" s="102" t="s">
        <v>105</v>
      </c>
      <c r="I34" s="102"/>
      <c r="J34" s="103"/>
      <c r="AA34" s="5"/>
    </row>
    <row r="35" spans="2:27" ht="13.5" thickBot="1" x14ac:dyDescent="0.25">
      <c r="B35" s="110" t="s">
        <v>23</v>
      </c>
      <c r="C35" s="111"/>
      <c r="D35" s="74" t="s">
        <v>105</v>
      </c>
      <c r="E35" s="1"/>
      <c r="F35" s="112" t="s">
        <v>9</v>
      </c>
      <c r="G35" s="113"/>
      <c r="H35" s="104" t="s">
        <v>105</v>
      </c>
      <c r="I35" s="104"/>
      <c r="J35" s="105"/>
      <c r="AA35" s="5"/>
    </row>
    <row r="36" spans="2:27" ht="13.5" thickBot="1" x14ac:dyDescent="0.25">
      <c r="B36" s="110" t="s">
        <v>27</v>
      </c>
      <c r="C36" s="111"/>
      <c r="D36" s="74" t="s">
        <v>105</v>
      </c>
      <c r="E36" s="1"/>
      <c r="F36" s="92"/>
      <c r="G36" s="92"/>
      <c r="H36" s="1"/>
      <c r="I36" s="1"/>
      <c r="J36" s="1"/>
    </row>
    <row r="37" spans="2:27" ht="14.25" customHeight="1" thickBot="1" x14ac:dyDescent="0.25">
      <c r="B37" s="110" t="s">
        <v>84</v>
      </c>
      <c r="C37" s="111"/>
      <c r="D37" s="74" t="s">
        <v>53</v>
      </c>
      <c r="E37" s="1"/>
      <c r="F37" s="93" t="s">
        <v>97</v>
      </c>
      <c r="G37" s="94"/>
      <c r="H37" s="69"/>
      <c r="I37" s="69"/>
      <c r="J37" s="63"/>
    </row>
    <row r="38" spans="2:27" ht="13.5" customHeight="1" thickBot="1" x14ac:dyDescent="0.25">
      <c r="B38" s="112" t="s">
        <v>55</v>
      </c>
      <c r="C38" s="113"/>
      <c r="D38" s="77" t="s">
        <v>142</v>
      </c>
      <c r="E38" s="1"/>
      <c r="F38" s="83" t="s">
        <v>154</v>
      </c>
      <c r="G38" s="84"/>
      <c r="H38" s="84"/>
      <c r="I38" s="84"/>
      <c r="J38" s="85"/>
    </row>
    <row r="39" spans="2:27" ht="14.25" x14ac:dyDescent="0.2">
      <c r="B39" s="40"/>
      <c r="C39" s="38"/>
      <c r="D39" s="38"/>
      <c r="E39" s="38"/>
      <c r="F39" s="86"/>
      <c r="G39" s="87"/>
      <c r="H39" s="87"/>
      <c r="I39" s="87"/>
      <c r="J39" s="88"/>
    </row>
    <row r="40" spans="2:27" ht="15" x14ac:dyDescent="0.25">
      <c r="B40" s="41"/>
      <c r="C40" s="42"/>
      <c r="D40" s="42"/>
      <c r="E40" s="42"/>
      <c r="F40" s="86"/>
      <c r="G40" s="87"/>
      <c r="H40" s="87"/>
      <c r="I40" s="87"/>
      <c r="J40" s="88"/>
    </row>
    <row r="41" spans="2:27" ht="0.2" customHeight="1" x14ac:dyDescent="0.2">
      <c r="B41" s="17"/>
      <c r="C41" s="9"/>
      <c r="D41" s="5"/>
      <c r="E41" s="5"/>
      <c r="F41" s="86"/>
      <c r="G41" s="87"/>
      <c r="H41" s="87"/>
      <c r="I41" s="87"/>
      <c r="J41" s="88"/>
    </row>
    <row r="42" spans="2:27" ht="6.75" customHeight="1" thickBot="1" x14ac:dyDescent="0.25">
      <c r="B42" s="17"/>
      <c r="C42" s="9"/>
      <c r="D42" s="5"/>
      <c r="E42" s="5"/>
      <c r="F42" s="89"/>
      <c r="G42" s="90"/>
      <c r="H42" s="90"/>
      <c r="I42" s="90"/>
      <c r="J42" s="91"/>
    </row>
    <row r="43" spans="2:27" hidden="1" x14ac:dyDescent="0.2">
      <c r="B43" s="17"/>
      <c r="C43" s="9"/>
      <c r="D43" s="5"/>
      <c r="E43" s="5"/>
      <c r="H43" s="1"/>
      <c r="I43" s="29"/>
      <c r="J43" s="30"/>
    </row>
    <row r="44" spans="2:27" hidden="1" x14ac:dyDescent="0.2">
      <c r="B44" s="17"/>
      <c r="C44" s="9"/>
      <c r="D44" s="5"/>
      <c r="E44" s="5"/>
      <c r="H44" s="1"/>
      <c r="I44" s="29"/>
      <c r="J44" s="30"/>
    </row>
    <row r="45" spans="2:27" hidden="1" x14ac:dyDescent="0.2">
      <c r="B45" s="17"/>
      <c r="C45" s="9"/>
      <c r="D45" s="5"/>
      <c r="E45" s="5"/>
      <c r="H45" s="1"/>
      <c r="I45" s="29"/>
      <c r="J45" s="30"/>
    </row>
    <row r="46" spans="2:27" hidden="1" x14ac:dyDescent="0.2">
      <c r="B46" s="17"/>
      <c r="C46" s="9"/>
      <c r="D46" s="5"/>
      <c r="E46" s="5"/>
      <c r="H46" s="1"/>
      <c r="I46" s="29"/>
      <c r="J46" s="30"/>
    </row>
    <row r="47" spans="2:27" hidden="1" x14ac:dyDescent="0.2">
      <c r="B47" s="17"/>
      <c r="C47" s="9"/>
      <c r="D47" s="5"/>
      <c r="E47" s="5"/>
      <c r="H47" s="1"/>
      <c r="I47" s="29"/>
      <c r="J47" s="30"/>
    </row>
    <row r="48" spans="2:27" hidden="1" x14ac:dyDescent="0.2">
      <c r="B48" s="17"/>
      <c r="C48" s="9"/>
      <c r="D48" s="31"/>
      <c r="E48" s="31"/>
      <c r="H48" s="1"/>
      <c r="I48" s="29"/>
      <c r="J48" s="30"/>
      <c r="K48" s="9"/>
    </row>
    <row r="49" spans="2:18" ht="15" hidden="1" x14ac:dyDescent="0.2">
      <c r="B49" s="17"/>
      <c r="C49" s="9"/>
      <c r="D49" s="5"/>
      <c r="E49" s="5"/>
      <c r="J49" s="9"/>
      <c r="K49" s="9"/>
      <c r="L49" s="5"/>
      <c r="N49" s="11"/>
      <c r="O49" s="11"/>
      <c r="P49" s="12"/>
      <c r="Q49" s="13"/>
      <c r="R49" s="14"/>
    </row>
    <row r="50" spans="2:18" ht="15" hidden="1" x14ac:dyDescent="0.2">
      <c r="B50" s="17"/>
      <c r="C50" s="9"/>
      <c r="D50" s="5"/>
      <c r="E50" s="5"/>
      <c r="J50" s="9"/>
      <c r="K50" s="9"/>
      <c r="L50" s="5"/>
      <c r="N50" s="11"/>
      <c r="O50" s="11"/>
      <c r="P50" s="12"/>
      <c r="Q50" s="13"/>
      <c r="R50" s="14"/>
    </row>
    <row r="51" spans="2:18" ht="15" hidden="1" x14ac:dyDescent="0.2">
      <c r="B51" s="26"/>
      <c r="C51" s="27"/>
      <c r="D51" s="28"/>
      <c r="E51" s="28"/>
      <c r="J51" s="9"/>
      <c r="K51" s="9"/>
      <c r="L51" s="5"/>
      <c r="N51" s="11"/>
      <c r="O51" s="11"/>
      <c r="P51" s="12"/>
      <c r="Q51" s="13"/>
      <c r="R51" s="14"/>
    </row>
    <row r="52" spans="2:18" ht="15" hidden="1" x14ac:dyDescent="0.2">
      <c r="B52" s="26"/>
      <c r="C52" s="27"/>
      <c r="D52" s="28"/>
      <c r="E52" s="28"/>
      <c r="J52" s="9"/>
      <c r="K52" s="9"/>
      <c r="L52" s="5"/>
      <c r="N52" s="11"/>
      <c r="O52" s="11"/>
      <c r="P52" s="12"/>
      <c r="Q52" s="13"/>
      <c r="R52" s="14"/>
    </row>
    <row r="53" spans="2:18" ht="15" hidden="1" x14ac:dyDescent="0.2">
      <c r="B53" s="17"/>
      <c r="C53" s="9"/>
      <c r="D53" s="5"/>
      <c r="E53" s="5"/>
      <c r="J53" s="9"/>
      <c r="K53" s="9"/>
      <c r="L53" s="5"/>
      <c r="N53" s="11"/>
      <c r="O53" s="11"/>
      <c r="P53" s="12"/>
      <c r="Q53" s="13"/>
      <c r="R53" s="14"/>
    </row>
    <row r="54" spans="2:18" ht="15" hidden="1" x14ac:dyDescent="0.2">
      <c r="B54" s="17"/>
      <c r="C54" s="9"/>
      <c r="D54" s="5"/>
      <c r="E54" s="5"/>
      <c r="J54" s="9"/>
      <c r="K54" s="9"/>
      <c r="L54" s="5"/>
      <c r="N54" s="11"/>
      <c r="O54" s="11"/>
      <c r="P54" s="12"/>
      <c r="Q54" s="13"/>
      <c r="R54" s="14"/>
    </row>
    <row r="55" spans="2:18" ht="15" hidden="1" x14ac:dyDescent="0.2">
      <c r="J55" s="9"/>
      <c r="K55" s="9"/>
      <c r="L55" s="5"/>
      <c r="N55" s="11"/>
      <c r="O55" s="11"/>
      <c r="P55" s="12"/>
      <c r="Q55" s="13"/>
      <c r="R55" s="14"/>
    </row>
    <row r="56" spans="2:18" ht="15" hidden="1" x14ac:dyDescent="0.2">
      <c r="J56" s="9"/>
      <c r="K56" s="9"/>
      <c r="L56" s="5"/>
      <c r="N56" s="11"/>
      <c r="O56" s="11"/>
      <c r="P56" s="12"/>
      <c r="Q56" s="13"/>
      <c r="R56" s="14"/>
    </row>
    <row r="57" spans="2:18" ht="15" hidden="1" x14ac:dyDescent="0.2">
      <c r="J57" s="9"/>
      <c r="L57" s="5"/>
      <c r="N57" s="11"/>
      <c r="O57" s="11"/>
      <c r="P57" s="12"/>
      <c r="Q57" s="13"/>
      <c r="R57" s="14"/>
    </row>
    <row r="58" spans="2:18" ht="15.75" hidden="1" x14ac:dyDescent="0.25">
      <c r="N58" s="15"/>
      <c r="O58" s="15"/>
      <c r="P58" s="15"/>
      <c r="Q58" s="15"/>
      <c r="R58" s="7"/>
    </row>
    <row r="59" spans="2:18" ht="15.75" hidden="1" x14ac:dyDescent="0.25">
      <c r="J59" s="8"/>
      <c r="K59" s="19"/>
      <c r="L59" s="16"/>
      <c r="M59" s="17"/>
      <c r="O59" s="18"/>
      <c r="P59" s="18"/>
      <c r="Q59" s="15"/>
      <c r="R59" s="18"/>
    </row>
    <row r="60" spans="2:18" hidden="1" x14ac:dyDescent="0.2">
      <c r="J60" s="32"/>
      <c r="K60" s="21"/>
      <c r="L60" s="19"/>
      <c r="M60" s="19"/>
      <c r="N60" s="19"/>
      <c r="O60" s="19"/>
      <c r="P60" s="19"/>
      <c r="Q60" s="8"/>
      <c r="R60" s="8"/>
    </row>
    <row r="61" spans="2:18" hidden="1" x14ac:dyDescent="0.2">
      <c r="J61" s="20"/>
      <c r="K61" s="21"/>
      <c r="L61" s="22"/>
      <c r="M61" s="21"/>
      <c r="N61" s="21"/>
      <c r="O61" s="22"/>
      <c r="P61" s="22"/>
      <c r="Q61" s="10"/>
      <c r="R61" s="10"/>
    </row>
    <row r="62" spans="2:18" hidden="1" x14ac:dyDescent="0.2">
      <c r="J62" s="20"/>
      <c r="K62" s="21"/>
      <c r="L62" s="22"/>
      <c r="M62" s="21"/>
      <c r="N62" s="21"/>
      <c r="O62" s="21"/>
      <c r="P62" s="23"/>
      <c r="Q62" s="4"/>
    </row>
    <row r="63" spans="2:18" hidden="1" x14ac:dyDescent="0.2">
      <c r="J63" s="21"/>
      <c r="K63" s="21"/>
      <c r="L63" s="22"/>
      <c r="M63" s="21"/>
      <c r="N63" s="21"/>
      <c r="O63" s="21"/>
      <c r="P63" s="23"/>
      <c r="Q63" s="4"/>
      <c r="R63" s="10"/>
    </row>
    <row r="64" spans="2:18" hidden="1" x14ac:dyDescent="0.2">
      <c r="J64" s="20"/>
      <c r="K64" s="21"/>
      <c r="L64" s="22"/>
      <c r="M64" s="21"/>
      <c r="N64" s="21"/>
      <c r="O64" s="21"/>
      <c r="P64" s="21"/>
    </row>
    <row r="65" spans="10:18" hidden="1" x14ac:dyDescent="0.2">
      <c r="J65" s="20"/>
      <c r="K65" s="21"/>
      <c r="L65" s="22"/>
      <c r="M65" s="21"/>
      <c r="N65" s="21"/>
      <c r="O65" s="21"/>
      <c r="P65" s="21"/>
      <c r="Q65" s="5"/>
      <c r="R65" s="10"/>
    </row>
    <row r="66" spans="10:18" hidden="1" x14ac:dyDescent="0.2">
      <c r="J66" s="20"/>
      <c r="K66" s="21"/>
      <c r="L66" s="22"/>
      <c r="M66" s="21"/>
      <c r="N66" s="21"/>
      <c r="O66" s="21"/>
      <c r="P66" s="21"/>
    </row>
    <row r="67" spans="10:18" hidden="1" x14ac:dyDescent="0.2">
      <c r="J67" s="21"/>
      <c r="K67" s="21"/>
      <c r="L67" s="22"/>
      <c r="M67" s="24"/>
      <c r="N67" s="21"/>
      <c r="O67" s="21"/>
      <c r="P67" s="21"/>
      <c r="Q67" s="5"/>
      <c r="R67" s="10"/>
    </row>
    <row r="68" spans="10:18" hidden="1" x14ac:dyDescent="0.2">
      <c r="J68" s="21"/>
      <c r="K68" s="21"/>
      <c r="L68" s="22"/>
      <c r="M68" s="23"/>
      <c r="N68" s="21"/>
      <c r="O68" s="21"/>
      <c r="P68" s="21"/>
    </row>
    <row r="69" spans="10:18" hidden="1" x14ac:dyDescent="0.2">
      <c r="J69" s="21"/>
      <c r="K69" s="24"/>
      <c r="L69" s="22"/>
      <c r="M69" s="23"/>
      <c r="N69" s="21"/>
      <c r="O69" s="21"/>
      <c r="P69" s="21"/>
      <c r="R69" s="10"/>
    </row>
    <row r="70" spans="10:18" hidden="1" x14ac:dyDescent="0.2">
      <c r="J70" s="21"/>
      <c r="K70" s="23"/>
      <c r="L70" s="25"/>
      <c r="M70" s="21"/>
      <c r="N70" s="21"/>
      <c r="O70" s="21"/>
      <c r="P70" s="21"/>
    </row>
    <row r="71" spans="10:18" hidden="1" x14ac:dyDescent="0.2">
      <c r="J71" s="21"/>
      <c r="K71" s="23"/>
      <c r="L71" s="22"/>
      <c r="M71" s="21"/>
      <c r="N71" s="21"/>
      <c r="O71" s="21"/>
      <c r="P71" s="21"/>
      <c r="R71" s="10"/>
    </row>
    <row r="72" spans="10:18" hidden="1" x14ac:dyDescent="0.2">
      <c r="J72" s="21"/>
      <c r="K72" s="21"/>
      <c r="L72" s="22"/>
      <c r="M72" s="21"/>
      <c r="N72" s="21"/>
      <c r="O72" s="21"/>
      <c r="P72" s="21"/>
    </row>
    <row r="73" spans="10:18" hidden="1" x14ac:dyDescent="0.2">
      <c r="J73" s="21"/>
      <c r="K73" s="21"/>
      <c r="L73" s="22"/>
      <c r="M73" s="21"/>
      <c r="N73" s="21"/>
      <c r="O73" s="21"/>
      <c r="P73" s="21"/>
      <c r="R73" s="10"/>
    </row>
    <row r="74" spans="10:18" hidden="1" x14ac:dyDescent="0.2">
      <c r="J74" s="21"/>
      <c r="K74" s="21"/>
      <c r="L74" s="22"/>
      <c r="M74" s="21"/>
      <c r="N74" s="21"/>
      <c r="O74" s="21"/>
      <c r="P74" s="21"/>
    </row>
    <row r="75" spans="10:18" hidden="1" x14ac:dyDescent="0.2">
      <c r="J75" s="21"/>
      <c r="K75" s="21"/>
      <c r="L75" s="22"/>
      <c r="M75" s="21"/>
      <c r="N75" s="21"/>
      <c r="O75" s="21"/>
      <c r="P75" s="21"/>
      <c r="R75" s="10"/>
    </row>
    <row r="76" spans="10:18" hidden="1" x14ac:dyDescent="0.2">
      <c r="J76" s="21"/>
      <c r="K76" s="21"/>
      <c r="L76" s="22"/>
      <c r="M76" s="21"/>
      <c r="N76" s="21"/>
      <c r="O76" s="21"/>
      <c r="P76" s="21"/>
    </row>
    <row r="77" spans="10:18" hidden="1" x14ac:dyDescent="0.2">
      <c r="J77" s="21"/>
      <c r="K77" s="21"/>
      <c r="L77" s="22"/>
      <c r="M77" s="21"/>
      <c r="N77" s="21"/>
      <c r="O77" s="21"/>
      <c r="P77" s="21"/>
      <c r="R77" s="10"/>
    </row>
    <row r="78" spans="10:18" hidden="1" x14ac:dyDescent="0.2">
      <c r="J78" s="21"/>
      <c r="K78" s="21"/>
      <c r="L78" s="22"/>
      <c r="M78" s="21"/>
      <c r="N78" s="21"/>
      <c r="O78" s="21"/>
      <c r="P78" s="21"/>
    </row>
    <row r="79" spans="10:18" hidden="1" x14ac:dyDescent="0.2">
      <c r="J79" s="21"/>
      <c r="K79" s="21"/>
      <c r="L79" s="22"/>
      <c r="M79" s="21"/>
      <c r="N79" s="21"/>
      <c r="O79" s="21"/>
      <c r="P79" s="21"/>
      <c r="R79" s="10"/>
    </row>
    <row r="80" spans="10:18" hidden="1" x14ac:dyDescent="0.2">
      <c r="J80" s="21"/>
      <c r="K80" s="21"/>
      <c r="L80" s="22"/>
      <c r="M80" s="21"/>
      <c r="N80" s="21"/>
      <c r="O80" s="21"/>
      <c r="P80" s="21"/>
    </row>
    <row r="81" spans="10:18" hidden="1" x14ac:dyDescent="0.2">
      <c r="J81" s="21"/>
      <c r="K81" s="21"/>
      <c r="L81" s="22"/>
      <c r="M81" s="21"/>
      <c r="N81" s="21"/>
      <c r="O81" s="21"/>
      <c r="P81" s="21"/>
      <c r="R81" s="10"/>
    </row>
    <row r="82" spans="10:18" hidden="1" x14ac:dyDescent="0.2">
      <c r="J82" s="21"/>
      <c r="K82" s="21"/>
      <c r="L82" s="22"/>
      <c r="M82" s="21"/>
      <c r="N82" s="21"/>
      <c r="O82" s="21"/>
      <c r="P82" s="21"/>
    </row>
    <row r="83" spans="10:18" hidden="1" x14ac:dyDescent="0.2">
      <c r="J83" s="21"/>
      <c r="K83" s="21"/>
      <c r="L83" s="22"/>
      <c r="M83" s="21"/>
      <c r="N83" s="21"/>
      <c r="O83" s="21"/>
      <c r="P83" s="21"/>
      <c r="R83" s="10"/>
    </row>
    <row r="84" spans="10:18" hidden="1" x14ac:dyDescent="0.2">
      <c r="J84" s="21"/>
      <c r="K84" s="21"/>
      <c r="L84" s="22"/>
      <c r="M84" s="21"/>
      <c r="N84" s="21"/>
      <c r="O84" s="21"/>
      <c r="P84" s="21"/>
    </row>
    <row r="85" spans="10:18" hidden="1" x14ac:dyDescent="0.2">
      <c r="J85" s="21"/>
      <c r="K85" s="21"/>
      <c r="L85" s="22"/>
      <c r="M85" s="21"/>
      <c r="N85" s="21"/>
      <c r="O85" s="21"/>
      <c r="P85" s="21"/>
      <c r="R85" s="10"/>
    </row>
    <row r="86" spans="10:18" hidden="1" x14ac:dyDescent="0.2">
      <c r="J86" s="21"/>
      <c r="K86" s="21"/>
      <c r="L86" s="22"/>
      <c r="M86" s="21"/>
      <c r="N86" s="21"/>
      <c r="O86" s="21"/>
      <c r="P86" s="21"/>
    </row>
    <row r="87" spans="10:18" hidden="1" x14ac:dyDescent="0.2">
      <c r="J87" s="21"/>
      <c r="K87" s="21"/>
      <c r="L87" s="22"/>
      <c r="M87" s="21"/>
      <c r="N87" s="21"/>
      <c r="O87" s="21"/>
      <c r="P87" s="21"/>
      <c r="R87" s="10"/>
    </row>
    <row r="88" spans="10:18" hidden="1" x14ac:dyDescent="0.2">
      <c r="J88" s="21"/>
      <c r="K88" s="8"/>
      <c r="L88" s="22"/>
      <c r="M88" s="21"/>
      <c r="N88" s="21"/>
      <c r="O88" s="21"/>
      <c r="P88" s="21"/>
    </row>
  </sheetData>
  <sheetProtection selectLockedCells="1" selectUnlockedCells="1"/>
  <dataConsolidate/>
  <mergeCells count="78">
    <mergeCell ref="B14:C14"/>
    <mergeCell ref="B15:C15"/>
    <mergeCell ref="B16:C16"/>
    <mergeCell ref="B17:C17"/>
    <mergeCell ref="B9:C9"/>
    <mergeCell ref="B10:C10"/>
    <mergeCell ref="B11:C11"/>
    <mergeCell ref="B12:C12"/>
    <mergeCell ref="B13:C13"/>
    <mergeCell ref="B27:C27"/>
    <mergeCell ref="B28:C28"/>
    <mergeCell ref="B29:C29"/>
    <mergeCell ref="B18:C18"/>
    <mergeCell ref="B19:C19"/>
    <mergeCell ref="B20:C20"/>
    <mergeCell ref="B21:C21"/>
    <mergeCell ref="B22:C22"/>
    <mergeCell ref="B23:C23"/>
    <mergeCell ref="B36:C36"/>
    <mergeCell ref="B37:C37"/>
    <mergeCell ref="B38:C38"/>
    <mergeCell ref="F9:G9"/>
    <mergeCell ref="F10:G10"/>
    <mergeCell ref="F11:G11"/>
    <mergeCell ref="F12:G12"/>
    <mergeCell ref="B30:C30"/>
    <mergeCell ref="B31:C31"/>
    <mergeCell ref="B32:C32"/>
    <mergeCell ref="B33:C33"/>
    <mergeCell ref="B34:C34"/>
    <mergeCell ref="B35:C35"/>
    <mergeCell ref="B24:C24"/>
    <mergeCell ref="B25:C25"/>
    <mergeCell ref="B26:C26"/>
    <mergeCell ref="F19:G19"/>
    <mergeCell ref="F20:G20"/>
    <mergeCell ref="F13:G13"/>
    <mergeCell ref="F14:G14"/>
    <mergeCell ref="F15:G15"/>
    <mergeCell ref="F16:G16"/>
    <mergeCell ref="F17:G17"/>
    <mergeCell ref="F18:G18"/>
    <mergeCell ref="F33:G33"/>
    <mergeCell ref="F25:G25"/>
    <mergeCell ref="F26:G26"/>
    <mergeCell ref="F27:G27"/>
    <mergeCell ref="F28:G28"/>
    <mergeCell ref="F29:G29"/>
    <mergeCell ref="F30:G30"/>
    <mergeCell ref="H25:J25"/>
    <mergeCell ref="H26:J26"/>
    <mergeCell ref="H27:J27"/>
    <mergeCell ref="F31:G31"/>
    <mergeCell ref="F32:G32"/>
    <mergeCell ref="H17:J17"/>
    <mergeCell ref="H18:J18"/>
    <mergeCell ref="H19:J19"/>
    <mergeCell ref="H20:J20"/>
    <mergeCell ref="H10:J10"/>
    <mergeCell ref="H14:J14"/>
    <mergeCell ref="H15:J15"/>
    <mergeCell ref="H16:J16"/>
    <mergeCell ref="F38:J42"/>
    <mergeCell ref="F36:G36"/>
    <mergeCell ref="F37:G37"/>
    <mergeCell ref="K20:K22"/>
    <mergeCell ref="F21:G23"/>
    <mergeCell ref="H34:J34"/>
    <mergeCell ref="H35:J35"/>
    <mergeCell ref="H21:J23"/>
    <mergeCell ref="F24:G24"/>
    <mergeCell ref="F34:G34"/>
    <mergeCell ref="F35:G35"/>
    <mergeCell ref="H30:J30"/>
    <mergeCell ref="H31:J31"/>
    <mergeCell ref="H32:J32"/>
    <mergeCell ref="H33:J33"/>
    <mergeCell ref="H24:J24"/>
  </mergeCells>
  <conditionalFormatting sqref="J61:J88 L61:P88">
    <cfRule type="expression" dxfId="9" priority="17">
      <formula>$J61="Core"</formula>
    </cfRule>
    <cfRule type="expression" dxfId="8" priority="18">
      <formula>$N61="Dielectric"</formula>
    </cfRule>
    <cfRule type="expression" dxfId="7" priority="19">
      <formula>$J61="Copper"</formula>
    </cfRule>
    <cfRule type="expression" dxfId="6" priority="20">
      <formula>$N61="Legend"</formula>
    </cfRule>
    <cfRule type="expression" dxfId="5" priority="21">
      <formula>$N61="Soldermask"</formula>
    </cfRule>
  </conditionalFormatting>
  <conditionalFormatting sqref="K60:K87">
    <cfRule type="expression" dxfId="4" priority="22">
      <formula>$J61="Core"</formula>
    </cfRule>
    <cfRule type="expression" dxfId="3" priority="23">
      <formula>$N61="Dielectric"</formula>
    </cfRule>
    <cfRule type="expression" dxfId="2" priority="24">
      <formula>$J61="Copper"</formula>
    </cfRule>
    <cfRule type="expression" dxfId="1" priority="25">
      <formula>$N61="Legend"</formula>
    </cfRule>
    <cfRule type="expression" dxfId="0" priority="26">
      <formula>$N61="Soldermask"</formula>
    </cfRule>
  </conditionalFormatting>
  <pageMargins left="0.39370078740157483" right="0.39370078740157483" top="0.39370078740157483" bottom="0.39370078740157483" header="0" footer="0"/>
  <pageSetup paperSize="9" firstPageNumber="0" pageOrder="overThenDown" orientation="landscape" r:id="rId1"/>
  <drawing r:id="rId2"/>
  <extLst>
    <ext xmlns:x14="http://schemas.microsoft.com/office/spreadsheetml/2009/9/main" uri="{CCE6A557-97BC-4b89-ADB6-D9C93CAAB3DF}">
      <x14:dataValidations xmlns:xm="http://schemas.microsoft.com/office/excel/2006/main" count="36">
        <x14:dataValidation type="list" allowBlank="1" showErrorMessage="1" xr:uid="{31992EB7-B902-44DE-8E99-C2FE0F82F9AA}">
          <x14:formula1>
            <xm:f>'Data validation'!$M$24:$M$27</xm:f>
          </x14:formula1>
          <xm:sqref>D42:E45 D49:E50 D47:E47</xm:sqref>
        </x14:dataValidation>
        <x14:dataValidation type="list" allowBlank="1" showErrorMessage="1" xr:uid="{00000000-0002-0000-0000-00000A000000}">
          <x14:formula1>
            <xm:f>'Data validation'!$B$3:$B$6</xm:f>
          </x14:formula1>
          <xm:sqref>D11:E11</xm:sqref>
        </x14:dataValidation>
        <x14:dataValidation type="list" allowBlank="1" showErrorMessage="1" xr:uid="{26B9E7D6-0034-4199-A042-4975C606CF3B}">
          <x14:formula1>
            <xm:f>'Data validation'!$F$29:$F$40</xm:f>
          </x14:formula1>
          <xm:sqref>D51:E51</xm:sqref>
        </x14:dataValidation>
        <x14:dataValidation type="list" allowBlank="1" showInputMessage="1" showErrorMessage="1" xr:uid="{6D06CF0B-7E31-4FD1-8D7B-4352127D494B}">
          <x14:formula1>
            <xm:f>'Data validation'!$A$3:$A$6</xm:f>
          </x14:formula1>
          <xm:sqref>D10:E10</xm:sqref>
        </x14:dataValidation>
        <x14:dataValidation type="list" allowBlank="1" showInputMessage="1" showErrorMessage="1" xr:uid="{3F0DEE76-A107-4E2A-8A57-C59B5F06E464}">
          <x14:formula1>
            <xm:f>'Data validation'!$C$3:$C$10</xm:f>
          </x14:formula1>
          <xm:sqref>D12:E12</xm:sqref>
        </x14:dataValidation>
        <x14:dataValidation type="list" allowBlank="1" showInputMessage="1" showErrorMessage="1" xr:uid="{0EBAAFEE-DFBD-4173-BCEB-C0E73620B7F5}">
          <x14:formula1>
            <xm:f>'Data validation'!$D$3:$D$8</xm:f>
          </x14:formula1>
          <xm:sqref>D15:E15</xm:sqref>
        </x14:dataValidation>
        <x14:dataValidation type="list" allowBlank="1" showInputMessage="1" showErrorMessage="1" xr:uid="{DD21FD60-8191-4FB6-8C43-A28DF0AC3778}">
          <x14:formula1>
            <xm:f>'Data validation'!$E$3:$E$4</xm:f>
          </x14:formula1>
          <xm:sqref>D16:E16</xm:sqref>
        </x14:dataValidation>
        <x14:dataValidation type="list" allowBlank="1" showInputMessage="1" showErrorMessage="1" xr:uid="{8045BF46-615C-442E-BC10-F3DC2D2C7C7E}">
          <x14:formula1>
            <xm:f>'Data validation'!$F$3:$F$5</xm:f>
          </x14:formula1>
          <xm:sqref>D17:E17</xm:sqref>
        </x14:dataValidation>
        <x14:dataValidation type="list" allowBlank="1" showInputMessage="1" showErrorMessage="1" xr:uid="{52DA3570-567F-4B4C-82D8-E9EACEB6A41A}">
          <x14:formula1>
            <xm:f>'Data validation'!$G$3:$G$4</xm:f>
          </x14:formula1>
          <xm:sqref>D18:E18</xm:sqref>
        </x14:dataValidation>
        <x14:dataValidation type="list" allowBlank="1" showInputMessage="1" showErrorMessage="1" xr:uid="{823DC97A-4226-4A73-A66C-4C33A01D8531}">
          <x14:formula1>
            <xm:f>'Data validation'!$H$3:$H$5</xm:f>
          </x14:formula1>
          <xm:sqref>D19:E20</xm:sqref>
        </x14:dataValidation>
        <x14:dataValidation type="list" allowBlank="1" showInputMessage="1" showErrorMessage="1" xr:uid="{58592182-9E8E-42A3-881E-A2BDC994E306}">
          <x14:formula1>
            <xm:f>'Data validation'!$A$18:$A$21</xm:f>
          </x14:formula1>
          <xm:sqref>D23:E23</xm:sqref>
        </x14:dataValidation>
        <x14:dataValidation type="list" allowBlank="1" showInputMessage="1" showErrorMessage="1" xr:uid="{416C8803-309A-4DB4-97EE-6624518BE767}">
          <x14:formula1>
            <xm:f>'Data validation'!$B$18:$B$21</xm:f>
          </x14:formula1>
          <xm:sqref>D24:E24</xm:sqref>
        </x14:dataValidation>
        <x14:dataValidation type="list" allowBlank="1" showInputMessage="1" showErrorMessage="1" xr:uid="{08EFFA69-624E-4989-85B2-925B7D5DD528}">
          <x14:formula1>
            <xm:f>'Data validation'!$C$18:$C$20</xm:f>
          </x14:formula1>
          <xm:sqref>D25:E25</xm:sqref>
        </x14:dataValidation>
        <x14:dataValidation type="list" allowBlank="1" showInputMessage="1" showErrorMessage="1" xr:uid="{BB38607E-942C-4605-AF0E-84B1F30C6107}">
          <x14:formula1>
            <xm:f>'Data validation'!$D$18</xm:f>
          </x14:formula1>
          <xm:sqref>D26:E26</xm:sqref>
        </x14:dataValidation>
        <x14:dataValidation type="list" allowBlank="1" showInputMessage="1" showErrorMessage="1" xr:uid="{7F9B42D8-6467-49BD-A1BB-86D34F1EFB86}">
          <x14:formula1>
            <xm:f>'Data validation'!$E$18:$E$22</xm:f>
          </x14:formula1>
          <xm:sqref>D27:E27</xm:sqref>
        </x14:dataValidation>
        <x14:dataValidation type="list" allowBlank="1" showInputMessage="1" showErrorMessage="1" xr:uid="{BBD2B65E-A84D-422D-B53A-079D05861B80}">
          <x14:formula1>
            <xm:f>'Data validation'!$A$29:$A$31</xm:f>
          </x14:formula1>
          <xm:sqref>D32:E32</xm:sqref>
        </x14:dataValidation>
        <x14:dataValidation type="list" allowBlank="1" showInputMessage="1" showErrorMessage="1" xr:uid="{BD0BEE63-F9B0-45F8-808A-A0CE8349D185}">
          <x14:formula1>
            <xm:f>'Data validation'!$B$29:$B$31</xm:f>
          </x14:formula1>
          <xm:sqref>D33:E33</xm:sqref>
        </x14:dataValidation>
        <x14:dataValidation type="list" allowBlank="1" showInputMessage="1" showErrorMessage="1" xr:uid="{9A004492-7A2D-4C1C-BD3B-6DAA268F9DBB}">
          <x14:formula1>
            <xm:f>'Data validation'!$C$29:$C$31</xm:f>
          </x14:formula1>
          <xm:sqref>D34:E34</xm:sqref>
        </x14:dataValidation>
        <x14:dataValidation type="list" allowBlank="1" showInputMessage="1" showErrorMessage="1" xr:uid="{75E1AE9C-88C8-48B8-98FC-9AFAF4A61CB8}">
          <x14:formula1>
            <xm:f>'Data validation'!$D$29:$D$30</xm:f>
          </x14:formula1>
          <xm:sqref>D35:E35</xm:sqref>
        </x14:dataValidation>
        <x14:dataValidation type="list" allowBlank="1" showInputMessage="1" showErrorMessage="1" xr:uid="{E98C9821-B6BC-4099-B5A7-E0A24DBD2917}">
          <x14:formula1>
            <xm:f>'Data validation'!$E$29:$E$30</xm:f>
          </x14:formula1>
          <xm:sqref>D36:E36</xm:sqref>
        </x14:dataValidation>
        <x14:dataValidation type="list" allowBlank="1" showInputMessage="1" showErrorMessage="1" xr:uid="{33721B72-8898-469E-A4F9-B7273C0DAD68}">
          <x14:formula1>
            <xm:f>'Data validation'!$F$29:$F$40</xm:f>
          </x14:formula1>
          <xm:sqref>D37:E37</xm:sqref>
        </x14:dataValidation>
        <x14:dataValidation type="list" allowBlank="1" showInputMessage="1" showErrorMessage="1" xr:uid="{56BBDF97-ACE2-46AA-A16D-3664D0419E3B}">
          <x14:formula1>
            <xm:f>'Data validation'!$G$29:$G$34</xm:f>
          </x14:formula1>
          <xm:sqref>D38:E38</xm:sqref>
        </x14:dataValidation>
        <x14:dataValidation type="list" allowBlank="1" showInputMessage="1" showErrorMessage="1" xr:uid="{BB2E1EA6-559B-43B1-9393-6378CED847A8}">
          <x14:formula1>
            <xm:f>'Data validation'!$A$44:$A$46</xm:f>
          </x14:formula1>
          <xm:sqref>H10</xm:sqref>
        </x14:dataValidation>
        <x14:dataValidation type="list" allowBlank="1" showInputMessage="1" showErrorMessage="1" xr:uid="{B6B83742-FF21-4043-A9FE-F31C1D0771A4}">
          <x14:formula1>
            <xm:f>'Data validation'!$B$44:$B$45</xm:f>
          </x14:formula1>
          <xm:sqref>H12</xm:sqref>
        </x14:dataValidation>
        <x14:dataValidation type="list" allowBlank="1" showInputMessage="1" showErrorMessage="1" xr:uid="{4F8120B2-39DB-4031-AF9A-54CDD097DFDF}">
          <x14:formula1>
            <xm:f>'Data validation'!$C$44:$C$45</xm:f>
          </x14:formula1>
          <xm:sqref>H14:J14</xm:sqref>
        </x14:dataValidation>
        <x14:dataValidation type="list" allowBlank="1" showInputMessage="1" showErrorMessage="1" xr:uid="{39A79E0E-D75E-4F02-8B9C-6165C582562B}">
          <x14:formula1>
            <xm:f>'Data validation'!$D$44:$D$46</xm:f>
          </x14:formula1>
          <xm:sqref>H15:J15</xm:sqref>
        </x14:dataValidation>
        <x14:dataValidation type="list" allowBlank="1" showInputMessage="1" showErrorMessage="1" xr:uid="{8A05095A-84A1-4105-AEF4-A42E71E51300}">
          <x14:formula1>
            <xm:f>'Data validation'!$E$44:$E$45</xm:f>
          </x14:formula1>
          <xm:sqref>H16:J17</xm:sqref>
        </x14:dataValidation>
        <x14:dataValidation type="list" allowBlank="1" showInputMessage="1" showErrorMessage="1" xr:uid="{AC7F15DF-4FB9-49C5-9583-99651A3C7139}">
          <x14:formula1>
            <xm:f>'Data validation'!$F$44:$F$45</xm:f>
          </x14:formula1>
          <xm:sqref>H18:J18</xm:sqref>
        </x14:dataValidation>
        <x14:dataValidation type="list" allowBlank="1" showInputMessage="1" showErrorMessage="1" xr:uid="{42F92E5C-2C33-458B-8926-B0401FDC6594}">
          <x14:formula1>
            <xm:f>'Data validation'!$G$44:$G$45</xm:f>
          </x14:formula1>
          <xm:sqref>H19:J19</xm:sqref>
        </x14:dataValidation>
        <x14:dataValidation type="list" allowBlank="1" showInputMessage="1" showErrorMessage="1" xr:uid="{A7F37A94-3C32-4E8E-9F87-D7653D7AD09C}">
          <x14:formula1>
            <xm:f>'Data validation'!$H$44:$H$45</xm:f>
          </x14:formula1>
          <xm:sqref>H20:J20</xm:sqref>
        </x14:dataValidation>
        <x14:dataValidation type="list" allowBlank="1" showInputMessage="1" showErrorMessage="1" xr:uid="{3AF77E4A-588A-463B-BC63-86066F4736CD}">
          <x14:formula1>
            <xm:f>'Data validation'!$I$44:$I$47</xm:f>
          </x14:formula1>
          <xm:sqref>H21:J22</xm:sqref>
        </x14:dataValidation>
        <x14:dataValidation type="list" allowBlank="1" showInputMessage="1" showErrorMessage="1" xr:uid="{25DD3705-5177-4BE8-861F-4C80F69CF0F1}">
          <x14:formula1>
            <xm:f>'Data validation'!$J$44:$J$46</xm:f>
          </x14:formula1>
          <xm:sqref>H24:J24</xm:sqref>
        </x14:dataValidation>
        <x14:dataValidation type="list" allowBlank="1" showInputMessage="1" showErrorMessage="1" xr:uid="{54BA061D-2FB2-4239-A20F-A9FCC9EE8FCC}">
          <x14:formula1>
            <xm:f>'Data validation'!$K$44:$K$47</xm:f>
          </x14:formula1>
          <xm:sqref>H25:J25</xm:sqref>
        </x14:dataValidation>
        <x14:dataValidation type="list" allowBlank="1" showInputMessage="1" showErrorMessage="1" xr:uid="{CC3CD25A-A13D-4BFD-BB7C-D34EF1248C4E}">
          <x14:formula1>
            <xm:f>'Data validation'!$L$44</xm:f>
          </x14:formula1>
          <xm:sqref>H26:J26</xm:sqref>
        </x14:dataValidation>
        <x14:dataValidation type="list" allowBlank="1" showInputMessage="1" showErrorMessage="1" xr:uid="{62A0BFD7-DDFC-43A1-AE58-8CAC75B2B8B1}">
          <x14:formula1>
            <xm:f>'Data validation'!$M$44:$M$46</xm:f>
          </x14:formula1>
          <xm:sqref>H27:J27</xm:sqref>
        </x14:dataValidation>
        <x14:dataValidation type="list" allowBlank="1" showInputMessage="1" showErrorMessage="1" xr:uid="{1EF6E3EA-9AE7-430E-BA8F-F48AC292D5D8}">
          <x14:formula1>
            <xm:f>'Data validation'!$A$51:$A$53</xm:f>
          </x14:formula1>
          <xm:sqref>H30:J35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96F5B9-0273-4508-A343-FE8A47CF27D9}">
  <dimension ref="A1:X53"/>
  <sheetViews>
    <sheetView workbookViewId="0">
      <selection activeCell="A2" sqref="A2"/>
    </sheetView>
  </sheetViews>
  <sheetFormatPr defaultColWidth="9.140625" defaultRowHeight="12.75" x14ac:dyDescent="0.2"/>
  <cols>
    <col min="1" max="1" width="17.5703125" customWidth="1"/>
    <col min="2" max="2" width="21" customWidth="1"/>
    <col min="3" max="3" width="18.7109375" customWidth="1"/>
    <col min="4" max="4" width="25.28515625" customWidth="1"/>
    <col min="5" max="5" width="26.42578125" customWidth="1"/>
    <col min="6" max="6" width="19.85546875" customWidth="1"/>
    <col min="7" max="7" width="23.5703125" customWidth="1"/>
    <col min="8" max="8" width="21.5703125" customWidth="1"/>
    <col min="9" max="9" width="17.5703125" customWidth="1"/>
    <col min="10" max="10" width="18.28515625" customWidth="1"/>
    <col min="11" max="11" width="11.140625" customWidth="1"/>
    <col min="12" max="12" width="17" customWidth="1"/>
    <col min="13" max="13" width="27.28515625" customWidth="1"/>
    <col min="15" max="15" width="11.5703125" customWidth="1"/>
    <col min="16" max="16" width="11.7109375" customWidth="1"/>
    <col min="17" max="17" width="16.5703125" customWidth="1"/>
    <col min="18" max="18" width="18.28515625" customWidth="1"/>
    <col min="19" max="19" width="19.5703125" customWidth="1"/>
  </cols>
  <sheetData>
    <row r="1" spans="1:13" ht="18" x14ac:dyDescent="0.25">
      <c r="A1" s="33" t="s">
        <v>42</v>
      </c>
      <c r="B1" s="8"/>
      <c r="C1" s="8"/>
      <c r="E1" s="8"/>
      <c r="F1" s="8"/>
    </row>
    <row r="2" spans="1:13" x14ac:dyDescent="0.2">
      <c r="A2" s="17" t="s">
        <v>153</v>
      </c>
      <c r="B2" s="17" t="s">
        <v>93</v>
      </c>
      <c r="C2" s="17" t="s">
        <v>66</v>
      </c>
      <c r="D2" s="17" t="s">
        <v>68</v>
      </c>
      <c r="E2" s="17" t="s">
        <v>69</v>
      </c>
      <c r="F2" s="17" t="s">
        <v>70</v>
      </c>
      <c r="G2" s="17" t="s">
        <v>10</v>
      </c>
      <c r="H2" s="17" t="s">
        <v>106</v>
      </c>
    </row>
    <row r="3" spans="1:13" x14ac:dyDescent="0.2">
      <c r="A3" t="s">
        <v>119</v>
      </c>
      <c r="B3" t="s">
        <v>119</v>
      </c>
      <c r="C3" t="s">
        <v>60</v>
      </c>
      <c r="D3" t="s">
        <v>12</v>
      </c>
      <c r="E3" s="1" t="s">
        <v>104</v>
      </c>
      <c r="F3" s="1" t="s">
        <v>104</v>
      </c>
      <c r="G3" s="1" t="s">
        <v>104</v>
      </c>
      <c r="H3" s="1" t="s">
        <v>60</v>
      </c>
    </row>
    <row r="4" spans="1:13" x14ac:dyDescent="0.2">
      <c r="A4" s="1" t="s">
        <v>98</v>
      </c>
      <c r="B4" s="1" t="s">
        <v>98</v>
      </c>
      <c r="C4" s="1">
        <v>2</v>
      </c>
      <c r="D4" t="s">
        <v>99</v>
      </c>
      <c r="E4" s="1" t="s">
        <v>105</v>
      </c>
      <c r="F4" s="1" t="s">
        <v>105</v>
      </c>
      <c r="G4" s="1" t="s">
        <v>105</v>
      </c>
      <c r="H4" s="1" t="s">
        <v>61</v>
      </c>
    </row>
    <row r="5" spans="1:13" x14ac:dyDescent="0.2">
      <c r="A5" s="1" t="s">
        <v>2</v>
      </c>
      <c r="B5" s="1" t="s">
        <v>2</v>
      </c>
      <c r="C5" s="1">
        <v>4</v>
      </c>
      <c r="D5" t="s">
        <v>100</v>
      </c>
      <c r="E5" s="1"/>
      <c r="F5" s="1" t="s">
        <v>139</v>
      </c>
      <c r="H5" s="1" t="s">
        <v>107</v>
      </c>
    </row>
    <row r="6" spans="1:13" x14ac:dyDescent="0.2">
      <c r="A6" s="1" t="s">
        <v>5</v>
      </c>
      <c r="B6" s="1" t="s">
        <v>5</v>
      </c>
      <c r="C6" s="1">
        <v>6</v>
      </c>
      <c r="D6" t="s">
        <v>58</v>
      </c>
      <c r="E6" s="1"/>
      <c r="F6" s="1"/>
      <c r="H6" s="1"/>
    </row>
    <row r="7" spans="1:13" x14ac:dyDescent="0.2">
      <c r="A7" s="1"/>
      <c r="B7" s="1"/>
      <c r="C7" s="1">
        <v>8</v>
      </c>
      <c r="D7" t="s">
        <v>11</v>
      </c>
      <c r="E7" s="1"/>
      <c r="F7" s="1"/>
      <c r="H7" s="1"/>
    </row>
    <row r="8" spans="1:13" x14ac:dyDescent="0.2">
      <c r="A8" s="1"/>
      <c r="B8" s="1"/>
      <c r="C8" s="1">
        <v>10</v>
      </c>
      <c r="D8" t="s">
        <v>57</v>
      </c>
      <c r="E8" s="1"/>
      <c r="F8" s="1"/>
      <c r="H8" s="1"/>
      <c r="I8" s="1"/>
      <c r="J8" s="1"/>
      <c r="K8" s="1"/>
      <c r="L8" s="1"/>
      <c r="M8" s="1"/>
    </row>
    <row r="9" spans="1:13" x14ac:dyDescent="0.2">
      <c r="A9" s="1"/>
      <c r="B9" s="1"/>
      <c r="C9" s="1">
        <v>12</v>
      </c>
      <c r="D9" s="1"/>
      <c r="E9" s="1"/>
      <c r="G9" s="1"/>
      <c r="H9" s="1"/>
      <c r="I9" s="1"/>
      <c r="J9" s="1"/>
      <c r="K9" s="1"/>
      <c r="L9" s="1"/>
    </row>
    <row r="10" spans="1:13" x14ac:dyDescent="0.2">
      <c r="A10" s="1"/>
      <c r="B10" s="1"/>
      <c r="C10" s="1">
        <v>14</v>
      </c>
      <c r="D10" s="1"/>
      <c r="E10" s="1"/>
      <c r="F10" s="1"/>
      <c r="G10" s="1"/>
      <c r="H10" s="1"/>
      <c r="I10" s="1"/>
      <c r="J10" s="1"/>
      <c r="K10" s="1"/>
      <c r="L10" s="1"/>
    </row>
    <row r="11" spans="1:13" x14ac:dyDescent="0.2">
      <c r="A11" s="1"/>
      <c r="B11" s="1"/>
      <c r="C11" s="1"/>
      <c r="D11" s="1"/>
      <c r="E11" s="1"/>
      <c r="F11" s="1"/>
      <c r="G11" s="1"/>
      <c r="H11" s="1"/>
      <c r="I11" s="1"/>
      <c r="J11" s="1"/>
      <c r="K11" s="1"/>
      <c r="L11" s="1"/>
    </row>
    <row r="12" spans="1:13" x14ac:dyDescent="0.2">
      <c r="A12" s="1"/>
      <c r="B12" s="1"/>
      <c r="C12" s="1"/>
      <c r="D12" s="1"/>
      <c r="E12" s="1"/>
      <c r="F12" s="1"/>
      <c r="G12" s="1"/>
      <c r="H12" s="1"/>
      <c r="I12" s="1"/>
      <c r="J12" s="1"/>
      <c r="K12" s="1"/>
      <c r="L12" s="1"/>
    </row>
    <row r="13" spans="1:13" x14ac:dyDescent="0.2">
      <c r="A13" s="1"/>
      <c r="B13" s="1"/>
      <c r="C13" s="1"/>
      <c r="D13" s="1"/>
      <c r="E13" s="1"/>
      <c r="F13" s="1"/>
      <c r="G13" s="1"/>
      <c r="H13" s="1"/>
      <c r="I13" s="1"/>
      <c r="J13" s="1"/>
      <c r="K13" s="1"/>
      <c r="L13" s="1"/>
    </row>
    <row r="14" spans="1:13" x14ac:dyDescent="0.2">
      <c r="A14" s="1"/>
      <c r="B14" s="1"/>
      <c r="C14" s="1"/>
      <c r="E14" s="1"/>
      <c r="F14" s="1"/>
      <c r="G14" s="1"/>
      <c r="H14" s="1"/>
      <c r="I14" s="1"/>
      <c r="J14" s="1"/>
      <c r="K14" s="1"/>
      <c r="L14" s="1"/>
      <c r="M14" s="1"/>
    </row>
    <row r="15" spans="1:13" x14ac:dyDescent="0.2">
      <c r="A15" s="1"/>
      <c r="B15" s="1"/>
      <c r="C15" s="1"/>
      <c r="E15" s="1"/>
      <c r="F15" s="1"/>
      <c r="G15" s="1"/>
      <c r="H15" s="1"/>
      <c r="I15" s="1"/>
      <c r="J15" s="1"/>
      <c r="K15" s="1"/>
      <c r="L15" s="1"/>
      <c r="M15" s="1"/>
    </row>
    <row r="16" spans="1:13" ht="18" x14ac:dyDescent="0.25">
      <c r="A16" s="33" t="s">
        <v>71</v>
      </c>
      <c r="F16" s="1"/>
      <c r="G16" s="1"/>
      <c r="H16" s="1"/>
      <c r="I16" s="1"/>
      <c r="J16" s="1"/>
      <c r="K16" s="1"/>
      <c r="L16" s="1"/>
      <c r="M16" s="1"/>
    </row>
    <row r="17" spans="1:24" x14ac:dyDescent="0.2">
      <c r="A17" s="8" t="s">
        <v>101</v>
      </c>
      <c r="B17" s="17" t="s">
        <v>108</v>
      </c>
      <c r="C17" s="8" t="s">
        <v>110</v>
      </c>
      <c r="D17" s="8" t="s">
        <v>89</v>
      </c>
      <c r="E17" s="17" t="s">
        <v>88</v>
      </c>
      <c r="F17" s="1"/>
      <c r="G17" s="1"/>
      <c r="H17" s="1"/>
      <c r="I17" s="1"/>
      <c r="J17" s="1"/>
      <c r="K17" s="1"/>
      <c r="L17" s="1"/>
      <c r="M17" s="1"/>
    </row>
    <row r="18" spans="1:24" x14ac:dyDescent="0.2">
      <c r="A18" s="1" t="s">
        <v>60</v>
      </c>
      <c r="B18" s="1" t="s">
        <v>60</v>
      </c>
      <c r="C18" t="s">
        <v>12</v>
      </c>
      <c r="D18" s="1" t="s">
        <v>104</v>
      </c>
      <c r="E18" s="1" t="s">
        <v>60</v>
      </c>
      <c r="F18" s="1"/>
      <c r="G18" s="1"/>
      <c r="H18" s="1"/>
      <c r="I18" s="1"/>
      <c r="J18" s="1"/>
      <c r="K18" s="1"/>
      <c r="L18" s="1"/>
      <c r="M18" s="1"/>
      <c r="N18" s="1"/>
    </row>
    <row r="19" spans="1:24" x14ac:dyDescent="0.2">
      <c r="A19" s="1" t="s">
        <v>26</v>
      </c>
      <c r="B19" s="1" t="s">
        <v>152</v>
      </c>
      <c r="C19" s="1" t="s">
        <v>60</v>
      </c>
      <c r="D19" s="1"/>
      <c r="E19" s="1" t="s">
        <v>113</v>
      </c>
      <c r="F19" s="1"/>
      <c r="G19" s="3"/>
      <c r="H19" s="1"/>
      <c r="I19" s="1"/>
      <c r="J19" s="8"/>
      <c r="K19" s="1"/>
      <c r="L19" s="1"/>
      <c r="M19" s="1"/>
      <c r="N19" s="1"/>
    </row>
    <row r="20" spans="1:24" x14ac:dyDescent="0.2">
      <c r="A20" s="1" t="s">
        <v>4</v>
      </c>
      <c r="B20" s="1" t="s">
        <v>109</v>
      </c>
      <c r="C20" s="1" t="s">
        <v>111</v>
      </c>
      <c r="D20" s="1"/>
      <c r="E20" s="1" t="s">
        <v>114</v>
      </c>
      <c r="F20" s="1"/>
      <c r="G20" s="3"/>
      <c r="H20" s="1"/>
      <c r="I20" s="1"/>
      <c r="K20" s="1"/>
      <c r="L20" s="1"/>
      <c r="M20" s="1"/>
      <c r="N20" s="1"/>
    </row>
    <row r="21" spans="1:24" x14ac:dyDescent="0.2">
      <c r="A21" s="1" t="s">
        <v>7</v>
      </c>
      <c r="B21" s="1" t="s">
        <v>112</v>
      </c>
      <c r="C21" s="1"/>
      <c r="D21" s="1"/>
      <c r="E21" s="1" t="s">
        <v>115</v>
      </c>
      <c r="G21" s="2"/>
    </row>
    <row r="22" spans="1:24" x14ac:dyDescent="0.2">
      <c r="B22" s="1"/>
      <c r="C22" s="1"/>
      <c r="D22" s="1"/>
      <c r="E22" s="1" t="s">
        <v>116</v>
      </c>
      <c r="G22" s="3"/>
      <c r="X22" s="8" t="s">
        <v>55</v>
      </c>
    </row>
    <row r="23" spans="1:24" x14ac:dyDescent="0.2">
      <c r="C23" s="1"/>
      <c r="G23" s="3"/>
      <c r="X23" t="s">
        <v>18</v>
      </c>
    </row>
    <row r="24" spans="1:24" x14ac:dyDescent="0.2">
      <c r="G24" s="2"/>
      <c r="J24" s="1"/>
      <c r="X24" s="4" t="s">
        <v>20</v>
      </c>
    </row>
    <row r="25" spans="1:24" x14ac:dyDescent="0.2">
      <c r="J25" s="1"/>
      <c r="X25" s="4" t="s">
        <v>21</v>
      </c>
    </row>
    <row r="26" spans="1:24" x14ac:dyDescent="0.2">
      <c r="G26" s="4"/>
      <c r="J26" s="1"/>
    </row>
    <row r="27" spans="1:24" ht="18" x14ac:dyDescent="0.25">
      <c r="A27" s="33" t="s">
        <v>82</v>
      </c>
      <c r="G27" s="4"/>
      <c r="J27" s="1"/>
      <c r="X27" s="8" t="s">
        <v>1</v>
      </c>
    </row>
    <row r="28" spans="1:24" x14ac:dyDescent="0.2">
      <c r="A28" s="8" t="s">
        <v>17</v>
      </c>
      <c r="B28" s="8" t="s">
        <v>117</v>
      </c>
      <c r="C28" s="8" t="s">
        <v>118</v>
      </c>
      <c r="D28" s="8" t="s">
        <v>23</v>
      </c>
      <c r="E28" s="8" t="s">
        <v>27</v>
      </c>
      <c r="F28" s="8" t="s">
        <v>84</v>
      </c>
      <c r="G28" s="8" t="s">
        <v>140</v>
      </c>
      <c r="X28" t="s">
        <v>3</v>
      </c>
    </row>
    <row r="29" spans="1:24" x14ac:dyDescent="0.2">
      <c r="A29" t="s">
        <v>60</v>
      </c>
      <c r="B29" s="1" t="s">
        <v>105</v>
      </c>
      <c r="C29" s="1" t="s">
        <v>105</v>
      </c>
      <c r="D29" s="1" t="s">
        <v>104</v>
      </c>
      <c r="E29" s="1" t="s">
        <v>104</v>
      </c>
      <c r="F29" s="1" t="s">
        <v>54</v>
      </c>
      <c r="G29" s="1" t="s">
        <v>146</v>
      </c>
      <c r="X29" t="s">
        <v>6</v>
      </c>
    </row>
    <row r="30" spans="1:24" x14ac:dyDescent="0.2">
      <c r="A30" s="1" t="s">
        <v>104</v>
      </c>
      <c r="B30" s="1" t="s">
        <v>104</v>
      </c>
      <c r="C30" t="s">
        <v>104</v>
      </c>
      <c r="D30" s="1" t="s">
        <v>105</v>
      </c>
      <c r="E30" s="1" t="s">
        <v>105</v>
      </c>
      <c r="F30" s="1" t="s">
        <v>43</v>
      </c>
      <c r="G30" s="37" t="s">
        <v>141</v>
      </c>
      <c r="X30" t="s">
        <v>56</v>
      </c>
    </row>
    <row r="31" spans="1:24" x14ac:dyDescent="0.2">
      <c r="A31" s="1" t="s">
        <v>105</v>
      </c>
      <c r="B31" s="1" t="s">
        <v>60</v>
      </c>
      <c r="C31" s="1" t="s">
        <v>60</v>
      </c>
      <c r="F31" t="s">
        <v>44</v>
      </c>
      <c r="G31" s="1" t="s">
        <v>142</v>
      </c>
    </row>
    <row r="32" spans="1:24" x14ac:dyDescent="0.2">
      <c r="A32" s="1"/>
      <c r="F32" t="s">
        <v>45</v>
      </c>
      <c r="G32" s="1" t="s">
        <v>143</v>
      </c>
    </row>
    <row r="33" spans="1:13" x14ac:dyDescent="0.2">
      <c r="A33" s="1"/>
      <c r="F33" t="s">
        <v>46</v>
      </c>
      <c r="G33" s="1" t="s">
        <v>144</v>
      </c>
    </row>
    <row r="34" spans="1:13" x14ac:dyDescent="0.2">
      <c r="A34" s="1"/>
      <c r="F34" t="s">
        <v>47</v>
      </c>
      <c r="G34" s="1" t="s">
        <v>145</v>
      </c>
    </row>
    <row r="35" spans="1:13" x14ac:dyDescent="0.2">
      <c r="A35" s="1"/>
      <c r="F35" t="s">
        <v>48</v>
      </c>
    </row>
    <row r="36" spans="1:13" x14ac:dyDescent="0.2">
      <c r="A36" s="1"/>
      <c r="F36" t="s">
        <v>49</v>
      </c>
    </row>
    <row r="37" spans="1:13" x14ac:dyDescent="0.2">
      <c r="A37" s="1"/>
      <c r="F37" t="s">
        <v>50</v>
      </c>
    </row>
    <row r="38" spans="1:13" x14ac:dyDescent="0.2">
      <c r="A38" s="1"/>
      <c r="F38" t="s">
        <v>51</v>
      </c>
    </row>
    <row r="39" spans="1:13" x14ac:dyDescent="0.2">
      <c r="A39" s="1"/>
      <c r="F39" t="s">
        <v>52</v>
      </c>
    </row>
    <row r="40" spans="1:13" x14ac:dyDescent="0.2">
      <c r="A40" s="1"/>
      <c r="F40" t="s">
        <v>53</v>
      </c>
    </row>
    <row r="41" spans="1:13" x14ac:dyDescent="0.2">
      <c r="A41" s="1"/>
    </row>
    <row r="42" spans="1:13" ht="18" x14ac:dyDescent="0.25">
      <c r="A42" s="33" t="s">
        <v>1</v>
      </c>
    </row>
    <row r="43" spans="1:13" x14ac:dyDescent="0.2">
      <c r="A43" s="8" t="s">
        <v>73</v>
      </c>
      <c r="B43" s="8" t="s">
        <v>74</v>
      </c>
      <c r="C43" s="8" t="s">
        <v>75</v>
      </c>
      <c r="D43" s="8" t="s">
        <v>95</v>
      </c>
      <c r="E43" s="8" t="s">
        <v>129</v>
      </c>
      <c r="F43" s="8" t="s">
        <v>81</v>
      </c>
      <c r="G43" s="8" t="s">
        <v>16</v>
      </c>
      <c r="H43" s="8" t="s">
        <v>76</v>
      </c>
      <c r="I43" s="8" t="s">
        <v>132</v>
      </c>
      <c r="J43" s="8" t="s">
        <v>78</v>
      </c>
      <c r="K43" s="8" t="s">
        <v>14</v>
      </c>
      <c r="L43" s="8" t="s">
        <v>79</v>
      </c>
      <c r="M43" s="8" t="s">
        <v>135</v>
      </c>
    </row>
    <row r="44" spans="1:13" x14ac:dyDescent="0.2">
      <c r="A44" t="s">
        <v>121</v>
      </c>
      <c r="B44" t="s">
        <v>104</v>
      </c>
      <c r="C44" t="s">
        <v>125</v>
      </c>
      <c r="D44" t="s">
        <v>105</v>
      </c>
      <c r="E44" t="s">
        <v>105</v>
      </c>
      <c r="F44" t="s">
        <v>104</v>
      </c>
      <c r="G44" t="s">
        <v>104</v>
      </c>
      <c r="H44" t="s">
        <v>12</v>
      </c>
      <c r="I44" t="s">
        <v>12</v>
      </c>
      <c r="J44" t="s">
        <v>12</v>
      </c>
      <c r="K44" t="s">
        <v>113</v>
      </c>
      <c r="L44" t="s">
        <v>15</v>
      </c>
      <c r="M44" t="s">
        <v>151</v>
      </c>
    </row>
    <row r="45" spans="1:13" x14ac:dyDescent="0.2">
      <c r="A45" t="s">
        <v>120</v>
      </c>
      <c r="B45" t="s">
        <v>105</v>
      </c>
      <c r="C45" t="s">
        <v>126</v>
      </c>
      <c r="D45" t="s">
        <v>128</v>
      </c>
      <c r="E45" t="s">
        <v>130</v>
      </c>
      <c r="F45" t="s">
        <v>105</v>
      </c>
      <c r="G45" t="s">
        <v>105</v>
      </c>
      <c r="H45" t="s">
        <v>131</v>
      </c>
      <c r="I45" t="s">
        <v>13</v>
      </c>
      <c r="J45" t="s">
        <v>133</v>
      </c>
      <c r="K45" t="s">
        <v>24</v>
      </c>
      <c r="M45" t="s">
        <v>59</v>
      </c>
    </row>
    <row r="46" spans="1:13" x14ac:dyDescent="0.2">
      <c r="A46" t="s">
        <v>122</v>
      </c>
      <c r="D46" t="s">
        <v>127</v>
      </c>
      <c r="I46" t="s">
        <v>28</v>
      </c>
      <c r="J46" t="s">
        <v>150</v>
      </c>
      <c r="K46" t="s">
        <v>25</v>
      </c>
      <c r="M46" t="s">
        <v>136</v>
      </c>
    </row>
    <row r="47" spans="1:13" ht="38.25" x14ac:dyDescent="0.2">
      <c r="I47" s="34" t="s">
        <v>149</v>
      </c>
      <c r="K47" t="s">
        <v>134</v>
      </c>
    </row>
    <row r="49" spans="1:1" ht="18" x14ac:dyDescent="0.25">
      <c r="A49" s="33" t="s">
        <v>85</v>
      </c>
    </row>
    <row r="51" spans="1:1" x14ac:dyDescent="0.2">
      <c r="A51" t="s">
        <v>105</v>
      </c>
    </row>
    <row r="52" spans="1:1" x14ac:dyDescent="0.2">
      <c r="A52" t="s">
        <v>137</v>
      </c>
    </row>
    <row r="53" spans="1:1" x14ac:dyDescent="0.2">
      <c r="A53" t="s">
        <v>138</v>
      </c>
    </row>
  </sheetData>
  <phoneticPr fontId="4"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Technical data sheet</vt:lpstr>
      <vt:lpstr>Data validation</vt:lpstr>
      <vt:lpstr>'Technical data sheet'!Print_Area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2025-12-08T09:39:45Z</dcterms:created>
  <dcterms:modified xsi:type="dcterms:W3CDTF">2025-12-08T09:40:01Z</dcterms:modified>
</cp:coreProperties>
</file>